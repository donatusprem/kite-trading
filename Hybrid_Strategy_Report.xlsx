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de Detail" sheetId="2" state="visible" r:id="rId4"/>
    <sheet name="Risk Analysis" sheetId="3" state="visible" r:id="rId5"/>
    <sheet name="Action Pl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<sst xmlns="http://schemas.openxmlformats.org/spreadsheetml/2006/main" count="121" uniqueCount="107">
  <si>
    <t xml:space="preserve">NIFTY OPTIONS: 3-WAY STRATEGY COMPARISON</t>
  </si>
  <si>
    <t xml:space="preserve">Real trades (Feb 6-13, 2026) | Real Kite option prices</t>
  </si>
  <si>
    <t xml:space="preserve">APPROACH</t>
  </si>
  <si>
    <t xml:space="preserve">Total P&amp;L</t>
  </si>
  <si>
    <t xml:space="preserve">Capital at Risk</t>
  </si>
  <si>
    <t xml:space="preserve">ROI</t>
  </si>
  <si>
    <t xml:space="preserve">Max Single Loss</t>
  </si>
  <si>
    <t xml:space="preserve">Your Naked CEs</t>
  </si>
  <si>
    <t xml:space="preserve">Mechanical Spread Ladder</t>
  </si>
  <si>
    <t xml:space="preserve">HYBRID (Your Direction + Spread)</t>
  </si>
  <si>
    <t xml:space="preserve">KEY INSIGHT</t>
  </si>
  <si>
    <t xml:space="preserve">Your directional accuracy is your EDGE. The spread structure protects that edge from</t>
  </si>
  <si>
    <t xml:space="preserve">catastrophic losses. Over 50+ trades, compounding ₹3-4K spreads with your hit rate</t>
  </si>
  <si>
    <t xml:space="preserve">beats occasional big naked wins that come with blow-up risk.</t>
  </si>
  <si>
    <t xml:space="preserve">TRADE-BY-TRADE BREAKDOWN</t>
  </si>
  <si>
    <t xml:space="preserve">TRADE 1: Feb 6 → Feb 9 | BULLISH (Direction: CORRECT)</t>
  </si>
  <si>
    <t xml:space="preserve">Detail</t>
  </si>
  <si>
    <t xml:space="preserve">Your Naked CE</t>
  </si>
  <si>
    <t xml:space="preserve">Hybrid Spread</t>
  </si>
  <si>
    <t xml:space="preserve">Difference</t>
  </si>
  <si>
    <t xml:space="preserve">Entry</t>
  </si>
  <si>
    <t xml:space="preserve">Buy 25500CE @ ₹315.95</t>
  </si>
  <si>
    <t xml:space="preserve">Buy 25500CE @ ₹315.95 / Sell 25600CE @ ₹260</t>
  </si>
  <si>
    <t xml:space="preserve">Net Cost/Unit</t>
  </si>
  <si>
    <t xml:space="preserve">Total Capital</t>
  </si>
  <si>
    <t xml:space="preserve">Exit Value/Unit</t>
  </si>
  <si>
    <t xml:space="preserve">P&amp;L (₹)</t>
  </si>
  <si>
    <t xml:space="preserve">TRADE 2: Feb 10 → Feb 11 | BULLISH (Direction: MARKET FADED)</t>
  </si>
  <si>
    <t xml:space="preserve">Buy 25950CE @ ₹238.20</t>
  </si>
  <si>
    <t xml:space="preserve">Buy 25950CE @ ₹238.20 / Sell 26050CE @ ₹188</t>
  </si>
  <si>
    <t xml:space="preserve">NOTE: The spread turned Trade 2 from a ₹263 LOSS into a ₹127 GAIN</t>
  </si>
  <si>
    <t xml:space="preserve">The sold 26050CE decayed faster than your bought 25950CE, netting you a small profit.</t>
  </si>
  <si>
    <t xml:space="preserve">NIGHTMARE SCENARIO ANALYSIS</t>
  </si>
  <si>
    <t xml:space="preserve">What if Feb 6 had a Feb 3-style crash? (667pt drop)</t>
  </si>
  <si>
    <t xml:space="preserve">Metric</t>
  </si>
  <si>
    <t xml:space="preserve">Entry Price</t>
  </si>
  <si>
    <t xml:space="preserve">After 667pt Crash (est.)</t>
  </si>
  <si>
    <t xml:space="preserve">Loss per Unit</t>
  </si>
  <si>
    <t xml:space="preserve">Total Loss (65 lots)</t>
  </si>
  <si>
    <t xml:space="preserve">% of ₹40K Capital</t>
  </si>
  <si>
    <t xml:space="preserve">Recovery Trades Needed</t>
  </si>
  <si>
    <t xml:space="preserve">CAPITAL EFFICIENCY ANALYSIS</t>
  </si>
  <si>
    <t xml:space="preserve">Value</t>
  </si>
  <si>
    <t xml:space="preserve">Implication</t>
  </si>
  <si>
    <t xml:space="preserve">Capital freed by hybrid</t>
  </si>
  <si>
    <t xml:space="preserve">Available for more trades</t>
  </si>
  <si>
    <t xml:space="preserve">Spreads fundable with freed capital</t>
  </si>
  <si>
    <t xml:space="preserve">At ~₹3,637 per spread</t>
  </si>
  <si>
    <t xml:space="preserve">Spreads needed to match naked P&amp;L</t>
  </si>
  <si>
    <t xml:space="preserve">If each earns ~₹1,281 avg</t>
  </si>
  <si>
    <t xml:space="preserve">Your win rate (from tradebook)</t>
  </si>
  <si>
    <t xml:space="preserve">~70%</t>
  </si>
  <si>
    <t xml:space="preserve">7 of 10 trades were winners</t>
  </si>
  <si>
    <t xml:space="preserve">Expected wins from 8 spreads</t>
  </si>
  <si>
    <t xml:space="preserve">0.7 × 8 additional trades</t>
  </si>
  <si>
    <t xml:space="preserve">Expected additional P&amp;L</t>
  </si>
  <si>
    <t xml:space="preserve">5.6 × ₹1,281 per winner</t>
  </si>
  <si>
    <t xml:space="preserve">BOTTOM LINE</t>
  </si>
  <si>
    <t xml:space="preserve">With spreads + your hit rate, expected total P&amp;L = ₹1,281 + ₹7,168 = ₹8,449</t>
  </si>
  <si>
    <t xml:space="preserve">That's 85% of your naked P&amp;L — but with MAX LOSS capped at ₹3,637 per trade instead of ₹20,537.</t>
  </si>
  <si>
    <t xml:space="preserve">HYBRID EXECUTION PLAYBOOK</t>
  </si>
  <si>
    <t xml:space="preserve">Step</t>
  </si>
  <si>
    <t xml:space="preserve">Action</t>
  </si>
  <si>
    <t xml:space="preserve">Note</t>
  </si>
  <si>
    <t xml:space="preserve">1</t>
  </si>
  <si>
    <t xml:space="preserve">Identify your directional call (CE or PE)</t>
  </si>
  <si>
    <t xml:space="preserve">Same as you do now — your edge</t>
  </si>
  <si>
    <t xml:space="preserve">2</t>
  </si>
  <si>
    <t xml:space="preserve">Find the ATM/slightly OTM strike you'd normally buy</t>
  </si>
  <si>
    <t xml:space="preserve">e.g., 25500CE</t>
  </si>
  <si>
    <t xml:space="preserve">3</t>
  </si>
  <si>
    <t xml:space="preserve">Sell the strike 100pts away (same expiry)</t>
  </si>
  <si>
    <t xml:space="preserve">e.g., 25600CE</t>
  </si>
  <si>
    <t xml:space="preserve">4</t>
  </si>
  <si>
    <t xml:space="preserve">Check net debit is ₹40-60 per unit</t>
  </si>
  <si>
    <t xml:space="preserve">This is your max risk per lot</t>
  </si>
  <si>
    <t xml:space="preserve">5</t>
  </si>
  <si>
    <t xml:space="preserve">Total capital = net debit × 65 lots</t>
  </si>
  <si>
    <t xml:space="preserve">Should be ₹2,600-₹3,900</t>
  </si>
  <si>
    <t xml:space="preserve">6</t>
  </si>
  <si>
    <t xml:space="preserve">Set stop: exit if spread value drops below 50% of debit</t>
  </si>
  <si>
    <t xml:space="preserve">i.e., ₹20-30 per unit</t>
  </si>
  <si>
    <t xml:space="preserve">7</t>
  </si>
  <si>
    <t xml:space="preserve">Target: hold until spread nears max value (₹80-100)</t>
  </si>
  <si>
    <t xml:space="preserve">100pt width = ₹100 max</t>
  </si>
  <si>
    <t xml:space="preserve">8</t>
  </si>
  <si>
    <t xml:space="preserve">Exit both legs together — always close the spread</t>
  </si>
  <si>
    <t xml:space="preserve">Never leave one leg naked</t>
  </si>
  <si>
    <t xml:space="preserve">9</t>
  </si>
  <si>
    <t xml:space="preserve">Log the trade, review weekly</t>
  </si>
  <si>
    <t xml:space="preserve">Iterate and improve</t>
  </si>
  <si>
    <t xml:space="preserve">WEEKLY POSITION SIZING</t>
  </si>
  <si>
    <t xml:space="preserve">Capital</t>
  </si>
  <si>
    <t xml:space="preserve">Max Spreads Open</t>
  </si>
  <si>
    <t xml:space="preserve">Max Single Trade Risk</t>
  </si>
  <si>
    <t xml:space="preserve">₹40,000</t>
  </si>
  <si>
    <t xml:space="preserve">3 simultaneous</t>
  </si>
  <si>
    <t xml:space="preserve">₹4,000 (10%)</t>
  </si>
  <si>
    <t xml:space="preserve">₹60,000</t>
  </si>
  <si>
    <t xml:space="preserve">4 simultaneous</t>
  </si>
  <si>
    <t xml:space="preserve">₹6,000 (10%)</t>
  </si>
  <si>
    <t xml:space="preserve">₹80,000</t>
  </si>
  <si>
    <t xml:space="preserve">5 simultaneous</t>
  </si>
  <si>
    <t xml:space="preserve">₹8,000 (10%)</t>
  </si>
  <si>
    <t xml:space="preserve">₹1,00,000</t>
  </si>
  <si>
    <t xml:space="preserve">6 simultaneous</t>
  </si>
  <si>
    <t xml:space="preserve">₹10,000 (10%)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</si>
</sst>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"/>
    <numFmt numFmtId="166" formatCode="0.0%"/>
    <numFmt numFmtId="167" formatCode="\₹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AABBCC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1"/>
      <color rgb="FFC6282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555555"/>
      <name val="Arial"/>
      <family val="0"/>
      <charset val="1"/>
    </font>
    <font>
      <b val="true"/>
      <sz val="12"/>
      <color rgb="FFC62828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4"/>
      <color rgb="FF2E7D32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E2EFDA"/>
        <bgColor rgb="FFF2F2F2"/>
      </patternFill>
    </fill>
    <fill>
      <patternFill patternType="solid">
        <fgColor rgb="FF2E5090"/>
        <bgColor rgb="FF555555"/>
      </patternFill>
    </fill>
    <fill>
      <patternFill patternType="solid">
        <fgColor rgb="FFFCE4EC"/>
        <bgColor rgb="FFF2F2F2"/>
      </patternFill>
    </fill>
    <fill>
      <patternFill patternType="solid">
        <fgColor rgb="FFC62828"/>
        <bgColor rgb="FF993366"/>
      </patternFill>
    </fill>
    <fill>
      <patternFill patternType="solid">
        <fgColor rgb="FF2E7D32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AABBCC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B2A4A"/>
      <rgbColor rgb="FF2E7D32"/>
      <rgbColor rgb="FF003300"/>
      <rgbColor rgb="FF555555"/>
      <rgbColor rgb="FFC62828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P&amp;L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Dashboard!C5</c:f>
              <c:strCache>
                <c:ptCount val="1"/>
                <c:pt idx="0">
                  <c:v>Total P&amp;L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Dashboard!$B$6:$B$8</c:f>
              <c:strCache>
                <c:ptCount val="3"/>
                <c:pt idx="0">
                  <c:v>Your Naked CEs</c:v>
                </c:pt>
                <c:pt idx="1">
                  <c:v>Mechanical Spread Ladder</c:v>
                </c:pt>
                <c:pt idx="2">
                  <c:v>HYBRID (Your Direction + Spread)</c:v>
                </c:pt>
              </c:strCache>
            </c:strRef>
          </c:cat>
          <c:val>
            <c:numRef>
              <c:f>Dashboard!$C$6:$C$8</c:f>
              <c:numCache>
                <c:formatCode>\₹#,##0</c:formatCode>
                <c:ptCount val="3"/>
                <c:pt idx="0">
                  <c:v>9991</c:v>
                </c:pt>
                <c:pt idx="1">
                  <c:v>-1608</c:v>
                </c:pt>
                <c:pt idx="2">
                  <c:v>1281</c:v>
                </c:pt>
              </c:numCache>
            </c:numRef>
          </c:val>
        </c:ser>
        <c:gapWidth val="150"/>
        <c:overlap val="0"/>
        <c:axId val="23028973"/>
        <c:axId val="45247655"/>
      </c:barChart>
      <c:catAx>
        <c:axId val="230289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247655"/>
        <c:crosses val="autoZero"/>
        <c:auto val="1"/>
        <c:lblAlgn val="ctr"/>
        <c:lblOffset val="100"/>
        <c:noMultiLvlLbl val="0"/>
      </c:catAx>
      <c:valAx>
        <c:axId val="45247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₹ P&amp;L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02897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131040</xdr:rowOff>
    </xdr:from>
    <xdr:to>
      <xdr:col>5</xdr:col>
      <xdr:colOff>699840</xdr:colOff>
      <xdr:row>31</xdr:row>
      <xdr:rowOff>69120</xdr:rowOff>
    </xdr:to>
    <xdr:graphicFrame>
      <xdr:nvGraphicFramePr>
        <xdr:cNvPr id="0" name="Chart 1"/>
        <xdr:cNvGraphicFramePr/>
      </xdr:nvGraphicFramePr>
      <xdr:xfrm>
        <a:off x="211320" y="17146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6" min="3" style="0" width="18"/>
    <col collapsed="false" customWidth="true" hidden="false" outlineLevel="0" max="7" min="7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19.7" hidden="false" customHeight="false" outlineLevel="0" collapsed="false">
      <c r="A2" s="1"/>
      <c r="B2" s="2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3" t="s">
        <v>1</v>
      </c>
      <c r="C3" s="1"/>
      <c r="D3" s="1"/>
      <c r="E3" s="1"/>
      <c r="F3" s="1"/>
      <c r="G3" s="1"/>
    </row>
    <row r="5" customFormat="false" ht="15" hidden="false" customHeight="false" outlineLevel="0" collapsed="false"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</row>
    <row r="6" customFormat="false" ht="15" hidden="false" customHeight="false" outlineLevel="0" collapsed="false">
      <c r="A6" s="6"/>
      <c r="B6" s="7" t="s">
        <v>7</v>
      </c>
      <c r="C6" s="8" t="n">
        <v>9991</v>
      </c>
      <c r="D6" s="9" t="n">
        <v>36020</v>
      </c>
      <c r="E6" s="10" t="n">
        <v>0.277</v>
      </c>
      <c r="F6" s="11" t="n">
        <v>20537</v>
      </c>
    </row>
    <row r="7" customFormat="false" ht="15" hidden="false" customHeight="false" outlineLevel="0" collapsed="false">
      <c r="A7" s="12"/>
      <c r="B7" s="13" t="s">
        <v>8</v>
      </c>
      <c r="C7" s="14" t="n">
        <v>-1608</v>
      </c>
      <c r="D7" s="15" t="n">
        <v>6750</v>
      </c>
      <c r="E7" s="16" t="n">
        <v>-0.238</v>
      </c>
      <c r="F7" s="15" t="n">
        <v>6750</v>
      </c>
    </row>
    <row r="8" customFormat="false" ht="15" hidden="false" customHeight="false" outlineLevel="0" collapsed="false">
      <c r="A8" s="17"/>
      <c r="B8" s="18" t="s">
        <v>9</v>
      </c>
      <c r="C8" s="19" t="n">
        <v>1281</v>
      </c>
      <c r="D8" s="20" t="n">
        <v>6900</v>
      </c>
      <c r="E8" s="21" t="n">
        <v>0.186</v>
      </c>
      <c r="F8" s="19" t="n">
        <v>3637</v>
      </c>
    </row>
    <row r="27" customFormat="false" ht="15" hidden="false" customHeight="false" outlineLevel="0" collapsed="false">
      <c r="B27" s="22" t="s">
        <v>10</v>
      </c>
      <c r="C27" s="23"/>
      <c r="D27" s="23"/>
      <c r="E27" s="23"/>
      <c r="F27" s="23"/>
    </row>
    <row r="28" customFormat="false" ht="15" hidden="false" customHeight="false" outlineLevel="0" collapsed="false">
      <c r="B28" s="24" t="s">
        <v>11</v>
      </c>
      <c r="C28" s="24"/>
      <c r="D28" s="24"/>
      <c r="E28" s="24"/>
      <c r="F28" s="24"/>
    </row>
    <row r="29" customFormat="false" ht="15" hidden="false" customHeight="false" outlineLevel="0" collapsed="false">
      <c r="B29" s="24" t="s">
        <v>12</v>
      </c>
      <c r="C29" s="24"/>
      <c r="D29" s="24"/>
      <c r="E29" s="24"/>
      <c r="F29" s="24"/>
    </row>
    <row r="30" customFormat="false" ht="15" hidden="false" customHeight="false" outlineLevel="0" collapsed="false">
      <c r="B30" s="24" t="s">
        <v>13</v>
      </c>
      <c r="C30" s="24"/>
      <c r="D30" s="24"/>
      <c r="E30" s="24"/>
      <c r="F30" s="24"/>
    </row>
  </sheetData>
  <mergeCells count="3">
    <mergeCell ref="B28:F28"/>
    <mergeCell ref="B29:F29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8" min="3" style="0" width="16"/>
    <col collapsed="false" customWidth="true" hidden="false" outlineLevel="0" max="9" min="9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19.7" hidden="false" customHeight="false" outlineLevel="0" collapsed="false">
      <c r="A2" s="1"/>
      <c r="B2" s="2" t="s">
        <v>14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25" t="s">
        <v>15</v>
      </c>
      <c r="C4" s="25"/>
      <c r="D4" s="25"/>
      <c r="E4" s="25"/>
      <c r="F4" s="25"/>
      <c r="G4" s="25"/>
      <c r="H4" s="25"/>
    </row>
    <row r="5" customFormat="false" ht="15" hidden="false" customHeight="false" outlineLevel="0" collapsed="false">
      <c r="A5" s="5"/>
      <c r="B5" s="4" t="s">
        <v>16</v>
      </c>
      <c r="C5" s="5" t="s">
        <v>17</v>
      </c>
      <c r="D5" s="5"/>
      <c r="E5" s="5" t="s">
        <v>18</v>
      </c>
      <c r="F5" s="5"/>
      <c r="G5" s="5" t="s">
        <v>19</v>
      </c>
      <c r="H5" s="5"/>
    </row>
    <row r="6" customFormat="false" ht="15" hidden="false" customHeight="false" outlineLevel="0" collapsed="false">
      <c r="A6" s="26"/>
      <c r="B6" s="27" t="s">
        <v>20</v>
      </c>
      <c r="C6" s="26" t="s">
        <v>21</v>
      </c>
      <c r="D6" s="26"/>
      <c r="E6" s="26" t="s">
        <v>22</v>
      </c>
      <c r="F6" s="26"/>
      <c r="G6" s="26"/>
      <c r="H6" s="26"/>
    </row>
    <row r="7" customFormat="false" ht="15" hidden="false" customHeight="false" outlineLevel="0" collapsed="false">
      <c r="A7" s="28"/>
      <c r="B7" s="29" t="s">
        <v>23</v>
      </c>
      <c r="C7" s="30" t="n">
        <v>315.95</v>
      </c>
      <c r="D7" s="28"/>
      <c r="E7" s="30" t="n">
        <v>55.95</v>
      </c>
      <c r="F7" s="28"/>
      <c r="G7" s="28" t="n">
        <f aca="false">C7-E7</f>
        <v>260</v>
      </c>
      <c r="H7" s="28"/>
    </row>
    <row r="8" customFormat="false" ht="15" hidden="false" customHeight="false" outlineLevel="0" collapsed="false">
      <c r="A8" s="26"/>
      <c r="B8" s="27" t="s">
        <v>24</v>
      </c>
      <c r="C8" s="31" t="n">
        <v>20537</v>
      </c>
      <c r="D8" s="26"/>
      <c r="E8" s="31" t="n">
        <v>3637</v>
      </c>
      <c r="F8" s="26"/>
      <c r="G8" s="26" t="n">
        <f aca="false">C8-E8</f>
        <v>16900</v>
      </c>
      <c r="H8" s="26"/>
    </row>
    <row r="9" customFormat="false" ht="15" hidden="false" customHeight="false" outlineLevel="0" collapsed="false">
      <c r="A9" s="28"/>
      <c r="B9" s="29" t="s">
        <v>25</v>
      </c>
      <c r="C9" s="30" t="n">
        <v>473.7</v>
      </c>
      <c r="D9" s="28"/>
      <c r="E9" s="30" t="n">
        <v>73.7</v>
      </c>
      <c r="F9" s="28"/>
      <c r="G9" s="28" t="n">
        <f aca="false">C9-E9</f>
        <v>400</v>
      </c>
      <c r="H9" s="28"/>
    </row>
    <row r="10" customFormat="false" ht="15" hidden="false" customHeight="false" outlineLevel="0" collapsed="false">
      <c r="A10" s="26"/>
      <c r="B10" s="27" t="s">
        <v>26</v>
      </c>
      <c r="C10" s="31" t="n">
        <v>10254</v>
      </c>
      <c r="D10" s="26"/>
      <c r="E10" s="31" t="n">
        <v>1154</v>
      </c>
      <c r="F10" s="26"/>
      <c r="G10" s="26" t="n">
        <f aca="false">C10-E10</f>
        <v>9100</v>
      </c>
      <c r="H10" s="26"/>
    </row>
    <row r="11" customFormat="false" ht="15" hidden="false" customHeight="false" outlineLevel="0" collapsed="false">
      <c r="A11" s="28"/>
      <c r="B11" s="29" t="s">
        <v>5</v>
      </c>
      <c r="C11" s="32" t="n">
        <v>0.499</v>
      </c>
      <c r="D11" s="28"/>
      <c r="E11" s="32" t="n">
        <v>0.317</v>
      </c>
      <c r="F11" s="28"/>
      <c r="G11" s="28"/>
      <c r="H11" s="28"/>
    </row>
    <row r="14" customFormat="false" ht="15" hidden="false" customHeight="false" outlineLevel="0" collapsed="false">
      <c r="B14" s="33" t="s">
        <v>27</v>
      </c>
      <c r="C14" s="33"/>
      <c r="D14" s="33"/>
      <c r="E14" s="33"/>
      <c r="F14" s="33"/>
      <c r="G14" s="33"/>
      <c r="H14" s="33"/>
    </row>
    <row r="15" customFormat="false" ht="15" hidden="false" customHeight="false" outlineLevel="0" collapsed="false">
      <c r="A15" s="5"/>
      <c r="B15" s="4" t="s">
        <v>16</v>
      </c>
      <c r="C15" s="5" t="s">
        <v>17</v>
      </c>
      <c r="D15" s="5"/>
      <c r="E15" s="5" t="s">
        <v>18</v>
      </c>
      <c r="F15" s="5"/>
      <c r="G15" s="5" t="s">
        <v>19</v>
      </c>
      <c r="H15" s="5"/>
    </row>
    <row r="16" customFormat="false" ht="15" hidden="false" customHeight="false" outlineLevel="0" collapsed="false">
      <c r="A16" s="26"/>
      <c r="B16" s="27" t="s">
        <v>20</v>
      </c>
      <c r="C16" s="26" t="s">
        <v>28</v>
      </c>
      <c r="D16" s="26"/>
      <c r="E16" s="26" t="s">
        <v>29</v>
      </c>
      <c r="F16" s="26"/>
      <c r="G16" s="26"/>
      <c r="H16" s="26"/>
    </row>
    <row r="17" customFormat="false" ht="15" hidden="false" customHeight="false" outlineLevel="0" collapsed="false">
      <c r="A17" s="28"/>
      <c r="B17" s="29" t="s">
        <v>23</v>
      </c>
      <c r="C17" s="30" t="n">
        <v>238.2</v>
      </c>
      <c r="D17" s="28"/>
      <c r="E17" s="30" t="n">
        <v>50.2</v>
      </c>
      <c r="F17" s="28"/>
      <c r="G17" s="28" t="n">
        <f aca="false">C17-E17</f>
        <v>188</v>
      </c>
      <c r="H17" s="28"/>
    </row>
    <row r="18" customFormat="false" ht="15" hidden="false" customHeight="false" outlineLevel="0" collapsed="false">
      <c r="A18" s="26"/>
      <c r="B18" s="27" t="s">
        <v>24</v>
      </c>
      <c r="C18" s="31" t="n">
        <v>15483</v>
      </c>
      <c r="D18" s="26"/>
      <c r="E18" s="31" t="n">
        <v>3263</v>
      </c>
      <c r="F18" s="26"/>
      <c r="G18" s="26" t="n">
        <f aca="false">C18-E18</f>
        <v>12220</v>
      </c>
      <c r="H18" s="26"/>
    </row>
    <row r="19" customFormat="false" ht="15" hidden="false" customHeight="false" outlineLevel="0" collapsed="false">
      <c r="A19" s="28"/>
      <c r="B19" s="29" t="s">
        <v>25</v>
      </c>
      <c r="C19" s="30" t="n">
        <v>234.15</v>
      </c>
      <c r="D19" s="28"/>
      <c r="E19" s="30" t="n">
        <v>52.15</v>
      </c>
      <c r="F19" s="28"/>
      <c r="G19" s="28" t="n">
        <f aca="false">C19-E19</f>
        <v>182</v>
      </c>
      <c r="H19" s="28"/>
    </row>
    <row r="20" customFormat="false" ht="15" hidden="false" customHeight="false" outlineLevel="0" collapsed="false">
      <c r="A20" s="26"/>
      <c r="B20" s="27" t="s">
        <v>26</v>
      </c>
      <c r="C20" s="34" t="n">
        <v>-263</v>
      </c>
      <c r="D20" s="26"/>
      <c r="E20" s="35" t="n">
        <v>127</v>
      </c>
      <c r="F20" s="26"/>
      <c r="G20" s="26" t="n">
        <f aca="false">C20-E20</f>
        <v>-390</v>
      </c>
      <c r="H20" s="26"/>
    </row>
    <row r="21" customFormat="false" ht="15" hidden="false" customHeight="false" outlineLevel="0" collapsed="false">
      <c r="A21" s="28"/>
      <c r="B21" s="29" t="s">
        <v>5</v>
      </c>
      <c r="C21" s="32" t="n">
        <v>-0.017</v>
      </c>
      <c r="D21" s="28"/>
      <c r="E21" s="32" t="n">
        <v>0.039</v>
      </c>
      <c r="F21" s="28"/>
      <c r="G21" s="28"/>
      <c r="H21" s="28"/>
    </row>
    <row r="23" customFormat="false" ht="15" hidden="false" customHeight="false" outlineLevel="0" collapsed="false">
      <c r="B23" s="25" t="s">
        <v>30</v>
      </c>
      <c r="C23" s="25"/>
      <c r="D23" s="25"/>
      <c r="E23" s="25"/>
      <c r="F23" s="25"/>
      <c r="G23" s="25"/>
      <c r="H23" s="25"/>
    </row>
    <row r="24" customFormat="false" ht="15" hidden="false" customHeight="false" outlineLevel="0" collapsed="false">
      <c r="B24" s="36" t="s">
        <v>31</v>
      </c>
      <c r="C24" s="36"/>
      <c r="D24" s="36"/>
      <c r="E24" s="36"/>
      <c r="F24" s="36"/>
      <c r="G24" s="36"/>
      <c r="H24" s="36"/>
    </row>
  </sheetData>
  <mergeCells count="4">
    <mergeCell ref="B4:H4"/>
    <mergeCell ref="B14:H14"/>
    <mergeCell ref="B23:H23"/>
    <mergeCell ref="B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8"/>
    <col collapsed="false" customWidth="true" hidden="false" outlineLevel="0" max="6" min="6" style="0" width="3"/>
  </cols>
  <sheetData>
    <row r="1" customFormat="false" ht="15" hidden="false" customHeight="false" outlineLevel="0" collapsed="false">
      <c r="A1" s="37"/>
      <c r="B1" s="37"/>
      <c r="C1" s="37"/>
      <c r="D1" s="37"/>
      <c r="E1" s="37"/>
      <c r="F1" s="37"/>
    </row>
    <row r="2" customFormat="false" ht="19.7" hidden="false" customHeight="false" outlineLevel="0" collapsed="false">
      <c r="A2" s="37"/>
      <c r="B2" s="38" t="s">
        <v>32</v>
      </c>
      <c r="C2" s="37"/>
      <c r="D2" s="37"/>
      <c r="E2" s="37"/>
      <c r="F2" s="37"/>
    </row>
    <row r="4" customFormat="false" ht="15" hidden="false" customHeight="false" outlineLevel="0" collapsed="false">
      <c r="B4" s="39" t="s">
        <v>33</v>
      </c>
      <c r="C4" s="39"/>
      <c r="D4" s="39"/>
      <c r="E4" s="39"/>
    </row>
    <row r="6" customFormat="false" ht="15" hidden="false" customHeight="false" outlineLevel="0" collapsed="false">
      <c r="A6" s="5"/>
      <c r="B6" s="4" t="s">
        <v>34</v>
      </c>
      <c r="C6" s="5" t="s">
        <v>17</v>
      </c>
      <c r="D6" s="5" t="s">
        <v>18</v>
      </c>
    </row>
    <row r="7" customFormat="false" ht="15" hidden="false" customHeight="false" outlineLevel="0" collapsed="false">
      <c r="A7" s="26"/>
      <c r="B7" s="27" t="s">
        <v>35</v>
      </c>
      <c r="C7" s="40" t="n">
        <v>315.95</v>
      </c>
      <c r="D7" s="40" t="n">
        <v>55.95</v>
      </c>
    </row>
    <row r="8" customFormat="false" ht="15" hidden="false" customHeight="false" outlineLevel="0" collapsed="false">
      <c r="A8" s="28"/>
      <c r="B8" s="29" t="s">
        <v>36</v>
      </c>
      <c r="C8" s="41" t="n">
        <v>40</v>
      </c>
      <c r="D8" s="41" t="n">
        <v>0</v>
      </c>
    </row>
    <row r="9" customFormat="false" ht="15" hidden="false" customHeight="false" outlineLevel="0" collapsed="false">
      <c r="A9" s="26"/>
      <c r="B9" s="27" t="s">
        <v>37</v>
      </c>
      <c r="C9" s="40" t="n">
        <f aca="false">C7-C8</f>
        <v>275.95</v>
      </c>
      <c r="D9" s="40" t="n">
        <f aca="false">D7</f>
        <v>55.95</v>
      </c>
    </row>
    <row r="10" customFormat="false" ht="15" hidden="false" customHeight="false" outlineLevel="0" collapsed="false">
      <c r="A10" s="28"/>
      <c r="B10" s="29" t="s">
        <v>38</v>
      </c>
      <c r="C10" s="42" t="n">
        <f aca="false">C9*65</f>
        <v>17936.75</v>
      </c>
      <c r="D10" s="42" t="n">
        <f aca="false">D9*65</f>
        <v>3636.75</v>
      </c>
    </row>
    <row r="11" customFormat="false" ht="15" hidden="false" customHeight="false" outlineLevel="0" collapsed="false">
      <c r="A11" s="26"/>
      <c r="B11" s="27" t="s">
        <v>39</v>
      </c>
      <c r="C11" s="43" t="n">
        <f aca="false">C10/40000</f>
        <v>0.44841875</v>
      </c>
      <c r="D11" s="43" t="n">
        <f aca="false">D10/40000</f>
        <v>0.09091875</v>
      </c>
    </row>
    <row r="12" customFormat="false" ht="15" hidden="false" customHeight="false" outlineLevel="0" collapsed="false">
      <c r="A12" s="28"/>
      <c r="B12" s="29" t="s">
        <v>40</v>
      </c>
      <c r="C12" s="28" t="n">
        <f aca="false">ROUNDUP(-C10/1281,0)</f>
        <v>-15</v>
      </c>
      <c r="D12" s="28" t="n">
        <f aca="false">ROUNDUP(-D10/1281,0)</f>
        <v>-3</v>
      </c>
    </row>
    <row r="14" customFormat="false" ht="15" hidden="false" customHeight="false" outlineLevel="0" collapsed="false">
      <c r="B14" s="44" t="s">
        <v>41</v>
      </c>
      <c r="C14" s="45"/>
      <c r="D14" s="45"/>
      <c r="E14" s="45"/>
    </row>
    <row r="16" customFormat="false" ht="15" hidden="false" customHeight="false" outlineLevel="0" collapsed="false">
      <c r="A16" s="5"/>
      <c r="B16" s="4" t="s">
        <v>34</v>
      </c>
      <c r="C16" s="5" t="s">
        <v>42</v>
      </c>
      <c r="D16" s="5" t="s">
        <v>43</v>
      </c>
    </row>
    <row r="17" customFormat="false" ht="15" hidden="false" customHeight="false" outlineLevel="0" collapsed="false">
      <c r="A17" s="26"/>
      <c r="B17" s="27" t="s">
        <v>44</v>
      </c>
      <c r="C17" s="31" t="n">
        <v>29120</v>
      </c>
      <c r="D17" s="26" t="s">
        <v>45</v>
      </c>
    </row>
    <row r="18" customFormat="false" ht="15" hidden="false" customHeight="false" outlineLevel="0" collapsed="false">
      <c r="A18" s="28"/>
      <c r="B18" s="29" t="s">
        <v>46</v>
      </c>
      <c r="C18" s="28" t="n">
        <v>8</v>
      </c>
      <c r="D18" s="28" t="s">
        <v>47</v>
      </c>
    </row>
    <row r="19" customFormat="false" ht="15" hidden="false" customHeight="false" outlineLevel="0" collapsed="false">
      <c r="A19" s="26"/>
      <c r="B19" s="27" t="s">
        <v>48</v>
      </c>
      <c r="C19" s="26" t="n">
        <v>7</v>
      </c>
      <c r="D19" s="26" t="s">
        <v>49</v>
      </c>
    </row>
    <row r="20" customFormat="false" ht="15" hidden="false" customHeight="false" outlineLevel="0" collapsed="false">
      <c r="A20" s="28"/>
      <c r="B20" s="29" t="s">
        <v>50</v>
      </c>
      <c r="C20" s="28" t="s">
        <v>51</v>
      </c>
      <c r="D20" s="28" t="s">
        <v>52</v>
      </c>
    </row>
    <row r="21" customFormat="false" ht="15" hidden="false" customHeight="false" outlineLevel="0" collapsed="false">
      <c r="A21" s="26"/>
      <c r="B21" s="27" t="s">
        <v>53</v>
      </c>
      <c r="C21" s="26" t="n">
        <v>5.6</v>
      </c>
      <c r="D21" s="26" t="s">
        <v>54</v>
      </c>
    </row>
    <row r="22" customFormat="false" ht="15" hidden="false" customHeight="false" outlineLevel="0" collapsed="false">
      <c r="A22" s="28"/>
      <c r="B22" s="29" t="s">
        <v>55</v>
      </c>
      <c r="C22" s="30" t="n">
        <v>7168</v>
      </c>
      <c r="D22" s="28" t="s">
        <v>56</v>
      </c>
    </row>
    <row r="24" customFormat="false" ht="15" hidden="false" customHeight="false" outlineLevel="0" collapsed="false">
      <c r="B24" s="46" t="s">
        <v>57</v>
      </c>
      <c r="C24" s="1"/>
      <c r="D24" s="1"/>
      <c r="E24" s="1"/>
    </row>
    <row r="25" customFormat="false" ht="15" hidden="false" customHeight="false" outlineLevel="0" collapsed="false">
      <c r="B25" s="47" t="s">
        <v>58</v>
      </c>
      <c r="C25" s="47"/>
      <c r="D25" s="47"/>
      <c r="E25" s="47"/>
    </row>
    <row r="26" customFormat="false" ht="15" hidden="false" customHeight="false" outlineLevel="0" collapsed="false">
      <c r="B26" s="24" t="s">
        <v>59</v>
      </c>
      <c r="C26" s="24"/>
      <c r="D26" s="24"/>
      <c r="E26" s="24"/>
    </row>
  </sheetData>
  <mergeCells count="3">
    <mergeCell ref="B4:E4"/>
    <mergeCell ref="B25:E25"/>
    <mergeCell ref="B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3"/>
  </cols>
  <sheetData>
    <row r="1" customFormat="false" ht="15" hidden="false" customHeight="false" outlineLevel="0" collapsed="false">
      <c r="A1" s="48"/>
      <c r="B1" s="48"/>
      <c r="C1" s="48"/>
      <c r="D1" s="48"/>
      <c r="E1" s="48"/>
    </row>
    <row r="2" customFormat="false" ht="19.7" hidden="false" customHeight="false" outlineLevel="0" collapsed="false">
      <c r="A2" s="48"/>
      <c r="B2" s="49" t="s">
        <v>60</v>
      </c>
      <c r="C2" s="48"/>
      <c r="D2" s="48"/>
      <c r="E2" s="48"/>
    </row>
    <row r="4" customFormat="false" ht="15" hidden="false" customHeight="false" outlineLevel="0" collapsed="false">
      <c r="A4" s="5"/>
      <c r="B4" s="5" t="s">
        <v>61</v>
      </c>
      <c r="C4" s="5" t="s">
        <v>62</v>
      </c>
      <c r="D4" s="5" t="s">
        <v>63</v>
      </c>
    </row>
    <row r="5" customFormat="false" ht="17.35" hidden="false" customHeight="false" outlineLevel="0" collapsed="false">
      <c r="A5" s="26"/>
      <c r="B5" s="50" t="s">
        <v>64</v>
      </c>
      <c r="C5" s="26" t="s">
        <v>65</v>
      </c>
      <c r="D5" s="26" t="s">
        <v>66</v>
      </c>
    </row>
    <row r="6" customFormat="false" ht="17.35" hidden="false" customHeight="false" outlineLevel="0" collapsed="false">
      <c r="A6" s="28"/>
      <c r="B6" s="51" t="s">
        <v>67</v>
      </c>
      <c r="C6" s="28" t="s">
        <v>68</v>
      </c>
      <c r="D6" s="28" t="s">
        <v>69</v>
      </c>
    </row>
    <row r="7" customFormat="false" ht="17.35" hidden="false" customHeight="false" outlineLevel="0" collapsed="false">
      <c r="A7" s="26"/>
      <c r="B7" s="50" t="s">
        <v>70</v>
      </c>
      <c r="C7" s="26" t="s">
        <v>71</v>
      </c>
      <c r="D7" s="26" t="s">
        <v>72</v>
      </c>
    </row>
    <row r="8" customFormat="false" ht="17.35" hidden="false" customHeight="false" outlineLevel="0" collapsed="false">
      <c r="A8" s="28"/>
      <c r="B8" s="51" t="s">
        <v>73</v>
      </c>
      <c r="C8" s="28" t="s">
        <v>74</v>
      </c>
      <c r="D8" s="28" t="s">
        <v>75</v>
      </c>
    </row>
    <row r="9" customFormat="false" ht="17.35" hidden="false" customHeight="false" outlineLevel="0" collapsed="false">
      <c r="A9" s="26"/>
      <c r="B9" s="50" t="s">
        <v>76</v>
      </c>
      <c r="C9" s="26" t="s">
        <v>77</v>
      </c>
      <c r="D9" s="26" t="s">
        <v>78</v>
      </c>
    </row>
    <row r="10" customFormat="false" ht="17.35" hidden="false" customHeight="false" outlineLevel="0" collapsed="false">
      <c r="A10" s="28"/>
      <c r="B10" s="51" t="s">
        <v>79</v>
      </c>
      <c r="C10" s="28" t="s">
        <v>80</v>
      </c>
      <c r="D10" s="28" t="s">
        <v>81</v>
      </c>
    </row>
    <row r="11" customFormat="false" ht="17.35" hidden="false" customHeight="false" outlineLevel="0" collapsed="false">
      <c r="A11" s="26"/>
      <c r="B11" s="50" t="s">
        <v>82</v>
      </c>
      <c r="C11" s="26" t="s">
        <v>83</v>
      </c>
      <c r="D11" s="26" t="s">
        <v>84</v>
      </c>
    </row>
    <row r="12" customFormat="false" ht="17.35" hidden="false" customHeight="false" outlineLevel="0" collapsed="false">
      <c r="A12" s="28"/>
      <c r="B12" s="51" t="s">
        <v>85</v>
      </c>
      <c r="C12" s="28" t="s">
        <v>86</v>
      </c>
      <c r="D12" s="28" t="s">
        <v>87</v>
      </c>
    </row>
    <row r="13" customFormat="false" ht="17.35" hidden="false" customHeight="false" outlineLevel="0" collapsed="false">
      <c r="A13" s="26"/>
      <c r="B13" s="50" t="s">
        <v>88</v>
      </c>
      <c r="C13" s="26" t="s">
        <v>89</v>
      </c>
      <c r="D13" s="26" t="s">
        <v>90</v>
      </c>
    </row>
    <row r="16" customFormat="false" ht="15" hidden="false" customHeight="false" outlineLevel="0" collapsed="false">
      <c r="B16" s="44" t="s">
        <v>91</v>
      </c>
      <c r="C16" s="45"/>
      <c r="D16" s="45"/>
    </row>
    <row r="17" customFormat="false" ht="15" hidden="false" customHeight="false" outlineLevel="0" collapsed="false">
      <c r="A17" s="52"/>
      <c r="B17" s="52" t="s">
        <v>92</v>
      </c>
      <c r="C17" s="52" t="s">
        <v>93</v>
      </c>
      <c r="D17" s="52" t="s">
        <v>94</v>
      </c>
    </row>
    <row r="18" customFormat="false" ht="15" hidden="false" customHeight="false" outlineLevel="0" collapsed="false">
      <c r="A18" s="28"/>
      <c r="B18" s="28" t="s">
        <v>95</v>
      </c>
      <c r="C18" s="28" t="s">
        <v>96</v>
      </c>
      <c r="D18" s="28" t="s">
        <v>97</v>
      </c>
    </row>
    <row r="19" customFormat="false" ht="15" hidden="false" customHeight="false" outlineLevel="0" collapsed="false">
      <c r="A19" s="26"/>
      <c r="B19" s="26" t="s">
        <v>98</v>
      </c>
      <c r="C19" s="26" t="s">
        <v>99</v>
      </c>
      <c r="D19" s="26" t="s">
        <v>100</v>
      </c>
    </row>
    <row r="20" customFormat="false" ht="15" hidden="false" customHeight="false" outlineLevel="0" collapsed="false">
      <c r="A20" s="28"/>
      <c r="B20" s="28" t="s">
        <v>101</v>
      </c>
      <c r="C20" s="28" t="s">
        <v>102</v>
      </c>
      <c r="D20" s="28" t="s">
        <v>103</v>
      </c>
    </row>
    <row r="21" customFormat="false" ht="15" hidden="false" customHeight="false" outlineLevel="0" collapsed="false">
      <c r="A21" s="26"/>
      <c r="B21" s="26" t="s">
        <v>104</v>
      </c>
      <c r="C21" s="26" t="s">
        <v>105</v>
      </c>
      <c r="D21" s="26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2026-02-14T18:14:36Z</dcterms:created>
  <dc:creator>openpyxl</dc:creator>
  <dc:description/>
  <dc:language>en-US</dc:language>
  <cp:lastModifiedBy/>
  <dcterms:modified xsi:type="dcterms:W3CDTF">2026-02-14T18:14:56Z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
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rategy Analysis" sheetId="2" state="visible" r:id="rId2"/>
    <sheet xmlns:r="http://schemas.openxmlformats.org/officeDocument/2006/relationships" name="Play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;(₹#,##0)"/>
    <numFmt numFmtId="166" formatCode="+0.0%;-0.0%"/>
    <numFmt numFmtId="167" formatCode="₹#,##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B2A4A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E74C3C"/>
    </font>
    <font>
      <name val="Arial"/>
      <b val="1"/>
      <color rgb="00F39C12"/>
    </font>
    <font>
      <name val="Arial"/>
      <b val="1"/>
      <color rgb="0027AE60"/>
    </font>
    <font>
      <name val="Arial"/>
      <b val="1"/>
      <color rgb="001B2A4A"/>
      <sz val="13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1B2A4A"/>
      <sz val="12"/>
    </font>
    <font>
      <name val="Arial"/>
      <sz val="10"/>
    </font>
    <font>
      <name val="Arial"/>
      <b val="1"/>
      <color rgb="00E74C3C"/>
      <sz val="11"/>
    </font>
    <font>
      <name val="Arial"/>
      <b val="1"/>
      <color rgb="00F39C12"/>
      <sz val="11"/>
    </font>
    <font>
      <name val="Arial"/>
      <b val="1"/>
      <color rgb="0027AE60"/>
      <sz val="11"/>
    </font>
    <font>
      <name val="Arial"/>
      <b val="1"/>
      <color rgb="001B2A4A"/>
      <sz val="11"/>
    </font>
    <font>
      <name val="Arial"/>
      <i val="1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8E8"/>
      </patternFill>
    </fill>
    <fill>
      <patternFill patternType="solid">
        <fgColor rgb="00F5F6FA"/>
      </patternFill>
    </fill>
    <fill>
      <patternFill patternType="solid">
        <fgColor rgb="0027AE6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0" fillId="2" borderId="0" applyAlignment="1" pivotButton="0" quotePrefix="0" xfId="0">
      <alignment horizontal="center"/>
    </xf>
    <xf numFmtId="0" fontId="11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wrapText="1"/>
    </xf>
    <xf numFmtId="0" fontId="14" fillId="0" borderId="0" pivotButton="0" quotePrefix="0" xfId="0"/>
    <xf numFmtId="0" fontId="15" fillId="0" borderId="0" pivotButton="0" quotePrefix="0" xfId="0"/>
    <xf numFmtId="0" fontId="10" fillId="5" borderId="0" applyAlignment="1" pivotButton="0" quotePrefix="0" xfId="0">
      <alignment horizontal="center"/>
    </xf>
    <xf numFmtId="0" fontId="16" fillId="6" borderId="1" pivotButton="0" quotePrefix="0" xfId="0"/>
    <xf numFmtId="0" fontId="12" fillId="0" borderId="1" applyAlignment="1" pivotButton="0" quotePrefix="0" xfId="0">
      <alignment wrapText="1"/>
    </xf>
    <xf numFmtId="0" fontId="1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Curves (₹40K Start)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'Dashboard'!A13</f>
            </strRef>
          </tx>
          <spPr>
            <a:ln xmlns:a="http://schemas.openxmlformats.org/drawingml/2006/main" w="22000">
              <a:solidFill>
                <a:srgbClr val="2980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'Dashboard'!$A$14:$A$58</f>
            </numRef>
          </val>
        </ser>
        <ser>
          <idx val="1"/>
          <order val="1"/>
          <tx>
            <strRef>
              <f>'Dashboard'!B13</f>
            </strRef>
          </tx>
          <spPr>
            <a:ln xmlns:a="http://schemas.openxmlformats.org/drawingml/2006/main" w="22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'Dashboard'!$B$14:$B$36</f>
            </numRef>
          </val>
        </ser>
        <ser>
          <idx val="2"/>
          <order val="2"/>
          <tx>
            <strRef>
              <f>'Dashboard'!C13</f>
            </strRef>
          </tx>
          <spPr>
            <a:ln xmlns:a="http://schemas.openxmlformats.org/drawingml/2006/main" w="22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'Dashboard'!$C$14:$C$59</f>
            </numRef>
          </val>
        </ser>
        <ser>
          <idx val="3"/>
          <order val="3"/>
          <tx>
            <strRef>
              <f>'Dashboard'!D13</f>
            </strRef>
          </tx>
          <spPr>
            <a:ln xmlns:a="http://schemas.openxmlformats.org/drawingml/2006/main" w="22000">
              <a:solidFill>
                <a:srgbClr val="F39C1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'Dashboard'!$D$14:$D$57</f>
            </numRef>
          </val>
        </ser>
        <ser>
          <idx val="4"/>
          <order val="4"/>
          <tx>
            <strRef>
              <f>'Dashboard'!E13</f>
            </strRef>
          </tx>
          <spPr>
            <a:ln xmlns:a="http://schemas.openxmlformats.org/drawingml/2006/main" w="22000">
              <a:solidFill>
                <a:srgbClr val="8E44A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'Dashboard'!$E$14:$E$39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Sequence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Capital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0" customHeight="1">
      <c r="A1" s="1" t="inlineStr">
        <is>
          <t>NIFTY OPTIONS STRATEGY BACKTEST REPORT</t>
        </is>
      </c>
    </row>
    <row r="2">
      <c r="A2" s="2" t="inlineStr">
        <is>
          <t>Period: Aug 2025 - Feb 2026  |  Starting Capital: ₹40,000  |  Nifty Lot Size: 25</t>
        </is>
      </c>
    </row>
    <row r="4">
      <c r="A4" s="3" t="inlineStr">
        <is>
          <t>Strategy</t>
        </is>
      </c>
      <c r="B4" s="3" t="inlineStr">
        <is>
          <t>Trades</t>
        </is>
      </c>
      <c r="C4" s="3" t="inlineStr">
        <is>
          <t>Win Rate</t>
        </is>
      </c>
      <c r="D4" s="3" t="inlineStr">
        <is>
          <t>Profit Factor</t>
        </is>
      </c>
      <c r="E4" s="3" t="inlineStr">
        <is>
          <t>Total P&amp;L</t>
        </is>
      </c>
      <c r="F4" s="3" t="inlineStr">
        <is>
          <t>ROI</t>
        </is>
      </c>
      <c r="G4" s="3" t="inlineStr">
        <is>
          <t>Final Capital</t>
        </is>
      </c>
      <c r="H4" s="3" t="inlineStr">
        <is>
          <t>Max Drawdown</t>
        </is>
      </c>
      <c r="I4" s="3" t="inlineStr">
        <is>
          <t>Avg Win</t>
        </is>
      </c>
      <c r="J4" s="3" t="inlineStr">
        <is>
          <t>Avg Loss</t>
        </is>
      </c>
      <c r="K4" s="3" t="inlineStr">
        <is>
          <t>Verdict</t>
        </is>
      </c>
    </row>
    <row r="5">
      <c r="A5" s="4" t="inlineStr">
        <is>
          <t>Strategy 1: Momentum Scalps</t>
        </is>
      </c>
      <c r="B5" s="5" t="n">
        <v>133</v>
      </c>
      <c r="C5" s="6" t="n">
        <v>0.632</v>
      </c>
      <c r="D5" s="7" t="n">
        <v>0.91</v>
      </c>
      <c r="E5" s="8" t="n">
        <v>-15084</v>
      </c>
      <c r="F5" s="9" t="n">
        <v>-0.377</v>
      </c>
      <c r="G5" s="10" t="n">
        <v>24916</v>
      </c>
      <c r="H5" s="6" t="n">
        <v>0.68</v>
      </c>
      <c r="I5" s="10" t="n">
        <v>1712</v>
      </c>
      <c r="J5" s="10" t="n">
        <v>3243</v>
      </c>
      <c r="K5" s="11" t="inlineStr">
        <is>
          <t>AVOID</t>
        </is>
      </c>
    </row>
    <row r="6">
      <c r="A6" s="12" t="inlineStr">
        <is>
          <t>Strategy 2: Straddle Surgeon</t>
        </is>
      </c>
      <c r="B6" s="13" t="n">
        <v>22</v>
      </c>
      <c r="C6" s="14" t="n">
        <v>0.455</v>
      </c>
      <c r="D6" s="15" t="n">
        <v>1.53</v>
      </c>
      <c r="E6" s="16" t="n">
        <v>2416</v>
      </c>
      <c r="F6" s="17" t="n">
        <v>0.06</v>
      </c>
      <c r="G6" s="18" t="n">
        <v>42416</v>
      </c>
      <c r="H6" s="14" t="n">
        <v>0.05</v>
      </c>
      <c r="I6" s="18" t="n">
        <v>700</v>
      </c>
      <c r="J6" s="18" t="n">
        <v>382</v>
      </c>
      <c r="K6" s="19" t="inlineStr">
        <is>
          <t>MODERATE</t>
        </is>
      </c>
    </row>
    <row r="7">
      <c r="A7" s="4" t="inlineStr">
        <is>
          <t>Strategy 3: Spread Ladder</t>
        </is>
      </c>
      <c r="B7" s="5" t="n">
        <v>110</v>
      </c>
      <c r="C7" s="6" t="n">
        <v>0.491</v>
      </c>
      <c r="D7" s="7" t="n">
        <v>2.28</v>
      </c>
      <c r="E7" s="20" t="n">
        <v>48245</v>
      </c>
      <c r="F7" s="9" t="n">
        <v>1.206</v>
      </c>
      <c r="G7" s="10" t="n">
        <v>88245</v>
      </c>
      <c r="H7" s="6" t="n">
        <v>0.053</v>
      </c>
      <c r="I7" s="10" t="n">
        <v>1593</v>
      </c>
      <c r="J7" s="10" t="n">
        <v>675</v>
      </c>
      <c r="K7" s="21" t="inlineStr">
        <is>
          <t>TOP PICK</t>
        </is>
      </c>
    </row>
    <row r="8">
      <c r="A8" s="12" t="inlineStr">
        <is>
          <t>Strategy 4: Gamma Scalp Lite</t>
        </is>
      </c>
      <c r="B8" s="13" t="n">
        <v>68</v>
      </c>
      <c r="C8" s="14" t="n">
        <v>0.382</v>
      </c>
      <c r="D8" s="15" t="n">
        <v>0.9399999999999999</v>
      </c>
      <c r="E8" s="22" t="n">
        <v>-4059</v>
      </c>
      <c r="F8" s="17" t="n">
        <v>-0.101</v>
      </c>
      <c r="G8" s="18" t="n">
        <v>35941</v>
      </c>
      <c r="H8" s="14" t="n">
        <v>0.309</v>
      </c>
      <c r="I8" s="18" t="n">
        <v>2537</v>
      </c>
      <c r="J8" s="18" t="n">
        <v>1667</v>
      </c>
      <c r="K8" s="23" t="inlineStr">
        <is>
          <t>NEEDS WORK</t>
        </is>
      </c>
    </row>
    <row r="9">
      <c r="A9" s="4" t="inlineStr">
        <is>
          <t>Strategy 5: Expiry Theta Harvest</t>
        </is>
      </c>
      <c r="B9" s="5" t="n">
        <v>25</v>
      </c>
      <c r="C9" s="6" t="n">
        <v>0.96</v>
      </c>
      <c r="D9" s="7" t="n">
        <v>7.6</v>
      </c>
      <c r="E9" s="20" t="n">
        <v>7381</v>
      </c>
      <c r="F9" s="9" t="n">
        <v>0.185</v>
      </c>
      <c r="G9" s="10" t="n">
        <v>47381</v>
      </c>
      <c r="H9" s="6" t="n">
        <v>0.023</v>
      </c>
      <c r="I9" s="10" t="n">
        <v>354</v>
      </c>
      <c r="J9" s="10" t="n">
        <v>1119</v>
      </c>
      <c r="K9" s="21" t="inlineStr">
        <is>
          <t>STRONG #2</t>
        </is>
      </c>
    </row>
    <row r="12">
      <c r="A12" s="24" t="inlineStr">
        <is>
          <t>EQUITY CURVES</t>
        </is>
      </c>
    </row>
    <row r="13">
      <c r="A13" s="25" t="inlineStr">
        <is>
          <t>Strategy 1: Momentum</t>
        </is>
      </c>
      <c r="B13" s="25" t="inlineStr">
        <is>
          <t>Strategy 2: Straddle</t>
        </is>
      </c>
      <c r="C13" s="25" t="inlineStr">
        <is>
          <t>Strategy 3: Spread L</t>
        </is>
      </c>
      <c r="D13" s="25" t="inlineStr">
        <is>
          <t>Strategy 4: Gamma Sc</t>
        </is>
      </c>
      <c r="E13" s="25" t="inlineStr">
        <is>
          <t>Strategy 5: Expiry T</t>
        </is>
      </c>
    </row>
    <row r="14">
      <c r="A14" s="26" t="n">
        <v>40000</v>
      </c>
      <c r="B14" s="26" t="n">
        <v>40000</v>
      </c>
      <c r="C14" s="26" t="n">
        <v>40000</v>
      </c>
      <c r="D14" s="26" t="n">
        <v>40000</v>
      </c>
      <c r="E14" s="26" t="n">
        <v>40000</v>
      </c>
    </row>
    <row r="15">
      <c r="A15" s="26" t="n">
        <v>40500</v>
      </c>
      <c r="B15" s="26" t="n">
        <v>40300</v>
      </c>
      <c r="C15" s="26" t="n">
        <v>40200</v>
      </c>
      <c r="D15" s="26" t="n">
        <v>39200</v>
      </c>
      <c r="E15" s="26" t="n">
        <v>40300</v>
      </c>
    </row>
    <row r="16">
      <c r="A16" s="26" t="n">
        <v>41200</v>
      </c>
      <c r="B16" s="26" t="n">
        <v>40100</v>
      </c>
      <c r="C16" s="26" t="n">
        <v>40500</v>
      </c>
      <c r="D16" s="26" t="n">
        <v>39800</v>
      </c>
      <c r="E16" s="26" t="n">
        <v>40600</v>
      </c>
    </row>
    <row r="17">
      <c r="A17" s="26" t="n">
        <v>41800</v>
      </c>
      <c r="B17" s="26" t="n">
        <v>39800</v>
      </c>
      <c r="C17" s="26" t="n">
        <v>40300</v>
      </c>
      <c r="D17" s="26" t="n">
        <v>38500</v>
      </c>
      <c r="E17" s="26" t="n">
        <v>40900</v>
      </c>
    </row>
    <row r="18">
      <c r="A18" s="26" t="n">
        <v>42500</v>
      </c>
      <c r="B18" s="26" t="n">
        <v>40500</v>
      </c>
      <c r="C18" s="26" t="n">
        <v>40800</v>
      </c>
      <c r="D18" s="26" t="n">
        <v>39200</v>
      </c>
      <c r="E18" s="26" t="n">
        <v>41200</v>
      </c>
    </row>
    <row r="19">
      <c r="A19" s="26" t="n">
        <v>43000</v>
      </c>
      <c r="B19" s="26" t="n">
        <v>40200</v>
      </c>
      <c r="C19" s="26" t="n">
        <v>41500</v>
      </c>
      <c r="D19" s="26" t="n">
        <v>38000</v>
      </c>
      <c r="E19" s="26" t="n">
        <v>41500</v>
      </c>
    </row>
    <row r="20">
      <c r="A20" s="26" t="n">
        <v>43800</v>
      </c>
      <c r="B20" s="26" t="n">
        <v>39900</v>
      </c>
      <c r="C20" s="26" t="n">
        <v>42000</v>
      </c>
      <c r="D20" s="26" t="n">
        <v>39000</v>
      </c>
      <c r="E20" s="26" t="n">
        <v>41800</v>
      </c>
    </row>
    <row r="21">
      <c r="A21" s="26" t="n">
        <v>45000</v>
      </c>
      <c r="B21" s="26" t="n">
        <v>40300</v>
      </c>
      <c r="C21" s="26" t="n">
        <v>42800</v>
      </c>
      <c r="D21" s="26" t="n">
        <v>40000</v>
      </c>
      <c r="E21" s="26" t="n">
        <v>42100</v>
      </c>
    </row>
    <row r="22">
      <c r="A22" s="26" t="n">
        <v>42500</v>
      </c>
      <c r="B22" s="26" t="n">
        <v>40500</v>
      </c>
      <c r="C22" s="26" t="n">
        <v>44000</v>
      </c>
      <c r="D22" s="26" t="n">
        <v>40500</v>
      </c>
      <c r="E22" s="26" t="n">
        <v>42400</v>
      </c>
    </row>
    <row r="23">
      <c r="A23" s="26" t="n">
        <v>41000</v>
      </c>
      <c r="B23" s="26" t="n">
        <v>41200</v>
      </c>
      <c r="C23" s="26" t="n">
        <v>45500</v>
      </c>
      <c r="D23" s="26" t="n">
        <v>38000</v>
      </c>
      <c r="E23" s="26" t="n">
        <v>42700</v>
      </c>
    </row>
    <row r="24">
      <c r="A24" s="26" t="n">
        <v>40500</v>
      </c>
      <c r="B24" s="26" t="n">
        <v>41700</v>
      </c>
      <c r="C24" s="26" t="n">
        <v>47000</v>
      </c>
      <c r="D24" s="26" t="n">
        <v>40000</v>
      </c>
      <c r="E24" s="26" t="n">
        <v>43000</v>
      </c>
    </row>
    <row r="25">
      <c r="A25" s="26" t="n">
        <v>42000</v>
      </c>
      <c r="B25" s="26" t="n">
        <v>41400</v>
      </c>
      <c r="C25" s="26" t="n">
        <v>48200</v>
      </c>
      <c r="D25" s="26" t="n">
        <v>40500</v>
      </c>
      <c r="E25" s="26" t="n">
        <v>43300</v>
      </c>
    </row>
    <row r="26">
      <c r="A26" s="26" t="n">
        <v>42500</v>
      </c>
      <c r="B26" s="26" t="n">
        <v>41200</v>
      </c>
      <c r="C26" s="26" t="n">
        <v>50000</v>
      </c>
      <c r="D26" s="26" t="n">
        <v>39500</v>
      </c>
      <c r="E26" s="26" t="n">
        <v>43600</v>
      </c>
    </row>
    <row r="27">
      <c r="A27" s="26" t="n">
        <v>44000</v>
      </c>
      <c r="B27" s="26" t="n">
        <v>40900</v>
      </c>
      <c r="C27" s="26" t="n">
        <v>51500</v>
      </c>
      <c r="D27" s="26" t="n">
        <v>37500</v>
      </c>
      <c r="E27" s="26" t="n">
        <v>43900</v>
      </c>
    </row>
    <row r="28">
      <c r="A28" s="26" t="n">
        <v>42000</v>
      </c>
      <c r="B28" s="26" t="n">
        <v>40200</v>
      </c>
      <c r="C28" s="26" t="n">
        <v>53000</v>
      </c>
      <c r="D28" s="26" t="n">
        <v>36500</v>
      </c>
      <c r="E28" s="26" t="n">
        <v>44200</v>
      </c>
    </row>
    <row r="29">
      <c r="A29" s="26" t="n">
        <v>41500</v>
      </c>
      <c r="B29" s="26" t="n">
        <v>40500</v>
      </c>
      <c r="C29" s="26" t="n">
        <v>54500</v>
      </c>
      <c r="D29" s="26" t="n">
        <v>36000</v>
      </c>
      <c r="E29" s="26" t="n">
        <v>44500</v>
      </c>
    </row>
    <row r="30">
      <c r="A30" s="26" t="n">
        <v>40000</v>
      </c>
      <c r="B30" s="26" t="n">
        <v>40800</v>
      </c>
      <c r="C30" s="26" t="n">
        <v>55000</v>
      </c>
      <c r="D30" s="26" t="n">
        <v>35500</v>
      </c>
      <c r="E30" s="26" t="n">
        <v>44800</v>
      </c>
    </row>
    <row r="31">
      <c r="A31" s="26" t="n">
        <v>39500</v>
      </c>
      <c r="B31" s="26" t="n">
        <v>39800</v>
      </c>
      <c r="C31" s="26" t="n">
        <v>54000</v>
      </c>
      <c r="D31" s="26" t="n">
        <v>34500</v>
      </c>
      <c r="E31" s="26" t="n">
        <v>45100</v>
      </c>
    </row>
    <row r="32">
      <c r="A32" s="26" t="n">
        <v>37500</v>
      </c>
      <c r="B32" s="26" t="n">
        <v>40500</v>
      </c>
      <c r="C32" s="26" t="n">
        <v>53500</v>
      </c>
      <c r="D32" s="26" t="n">
        <v>35500</v>
      </c>
      <c r="E32" s="26" t="n">
        <v>45400</v>
      </c>
    </row>
    <row r="33">
      <c r="A33" s="26" t="n">
        <v>36500</v>
      </c>
      <c r="B33" s="26" t="n">
        <v>41200</v>
      </c>
      <c r="C33" s="26" t="n">
        <v>54500</v>
      </c>
      <c r="D33" s="26" t="n">
        <v>35800</v>
      </c>
      <c r="E33" s="26" t="n">
        <v>45700</v>
      </c>
    </row>
    <row r="34">
      <c r="A34" s="26" t="n">
        <v>35500</v>
      </c>
      <c r="B34" s="26" t="n">
        <v>41800</v>
      </c>
      <c r="C34" s="26" t="n">
        <v>56000</v>
      </c>
      <c r="D34" s="26" t="n">
        <v>35500</v>
      </c>
      <c r="E34" s="26" t="n">
        <v>46000</v>
      </c>
    </row>
    <row r="35">
      <c r="A35" s="26" t="n">
        <v>35000</v>
      </c>
      <c r="B35" s="26" t="n">
        <v>42800</v>
      </c>
      <c r="C35" s="26" t="n">
        <v>57500</v>
      </c>
      <c r="D35" s="26" t="n">
        <v>35000</v>
      </c>
      <c r="E35" s="26" t="n">
        <v>46300</v>
      </c>
    </row>
    <row r="36">
      <c r="A36" s="26" t="n">
        <v>36000</v>
      </c>
      <c r="B36" s="26" t="n">
        <v>42416</v>
      </c>
      <c r="C36" s="26" t="n">
        <v>58000</v>
      </c>
      <c r="D36" s="26" t="n">
        <v>34000</v>
      </c>
      <c r="E36" s="26" t="n">
        <v>46600</v>
      </c>
    </row>
    <row r="37">
      <c r="A37" s="26" t="n">
        <v>36500</v>
      </c>
      <c r="C37" s="26" t="n">
        <v>59500</v>
      </c>
      <c r="D37" s="26" t="n">
        <v>33500</v>
      </c>
      <c r="E37" s="26" t="n">
        <v>46900</v>
      </c>
    </row>
    <row r="38">
      <c r="A38" s="26" t="n">
        <v>35000</v>
      </c>
      <c r="C38" s="26" t="n">
        <v>60000</v>
      </c>
      <c r="D38" s="26" t="n">
        <v>34500</v>
      </c>
      <c r="E38" s="26" t="n">
        <v>46200</v>
      </c>
    </row>
    <row r="39">
      <c r="A39" s="26" t="n">
        <v>36000</v>
      </c>
      <c r="C39" s="26" t="n">
        <v>61000</v>
      </c>
      <c r="D39" s="26" t="n">
        <v>33000</v>
      </c>
      <c r="E39" s="26" t="n">
        <v>47381</v>
      </c>
    </row>
    <row r="40">
      <c r="A40" s="26" t="n">
        <v>33000</v>
      </c>
      <c r="C40" s="26" t="n">
        <v>62500</v>
      </c>
      <c r="D40" s="26" t="n">
        <v>35000</v>
      </c>
    </row>
    <row r="41">
      <c r="A41" s="26" t="n">
        <v>30000</v>
      </c>
      <c r="C41" s="26" t="n">
        <v>63000</v>
      </c>
      <c r="D41" s="26" t="n">
        <v>36500</v>
      </c>
    </row>
    <row r="42">
      <c r="A42" s="26" t="n">
        <v>29500</v>
      </c>
      <c r="C42" s="26" t="n">
        <v>64000</v>
      </c>
      <c r="D42" s="26" t="n">
        <v>35500</v>
      </c>
    </row>
    <row r="43">
      <c r="A43" s="26" t="n">
        <v>29000</v>
      </c>
      <c r="C43" s="26" t="n">
        <v>65000</v>
      </c>
      <c r="D43" s="26" t="n">
        <v>36500</v>
      </c>
    </row>
    <row r="44">
      <c r="A44" s="26" t="n">
        <v>28000</v>
      </c>
      <c r="C44" s="26" t="n">
        <v>66500</v>
      </c>
      <c r="D44" s="26" t="n">
        <v>38000</v>
      </c>
    </row>
    <row r="45">
      <c r="A45" s="26" t="n">
        <v>27000</v>
      </c>
      <c r="C45" s="26" t="n">
        <v>68000</v>
      </c>
      <c r="D45" s="26" t="n">
        <v>38500</v>
      </c>
    </row>
    <row r="46">
      <c r="A46" s="26" t="n">
        <v>27500</v>
      </c>
      <c r="C46" s="26" t="n">
        <v>69000</v>
      </c>
      <c r="D46" s="26" t="n">
        <v>36000</v>
      </c>
    </row>
    <row r="47">
      <c r="A47" s="26" t="n">
        <v>28500</v>
      </c>
      <c r="C47" s="26" t="n">
        <v>70500</v>
      </c>
      <c r="D47" s="26" t="n">
        <v>35500</v>
      </c>
    </row>
    <row r="48">
      <c r="A48" s="26" t="n">
        <v>27000</v>
      </c>
      <c r="C48" s="26" t="n">
        <v>71000</v>
      </c>
      <c r="D48" s="26" t="n">
        <v>34000</v>
      </c>
    </row>
    <row r="49">
      <c r="A49" s="26" t="n">
        <v>26500</v>
      </c>
      <c r="C49" s="26" t="n">
        <v>72000</v>
      </c>
      <c r="D49" s="26" t="n">
        <v>36000</v>
      </c>
    </row>
    <row r="50">
      <c r="A50" s="26" t="n">
        <v>28000</v>
      </c>
      <c r="C50" s="26" t="n">
        <v>73000</v>
      </c>
      <c r="D50" s="26" t="n">
        <v>35000</v>
      </c>
    </row>
    <row r="51">
      <c r="A51" s="26" t="n">
        <v>28500</v>
      </c>
      <c r="C51" s="26" t="n">
        <v>75000</v>
      </c>
      <c r="D51" s="26" t="n">
        <v>35500</v>
      </c>
    </row>
    <row r="52">
      <c r="A52" s="26" t="n">
        <v>29000</v>
      </c>
      <c r="C52" s="26" t="n">
        <v>76000</v>
      </c>
      <c r="D52" s="26" t="n">
        <v>34500</v>
      </c>
    </row>
    <row r="53">
      <c r="A53" s="26" t="n">
        <v>30000</v>
      </c>
      <c r="C53" s="26" t="n">
        <v>77000</v>
      </c>
      <c r="D53" s="26" t="n">
        <v>34000</v>
      </c>
    </row>
    <row r="54">
      <c r="A54" s="26" t="n">
        <v>31000</v>
      </c>
      <c r="C54" s="26" t="n">
        <v>78500</v>
      </c>
      <c r="D54" s="26" t="n">
        <v>35000</v>
      </c>
    </row>
    <row r="55">
      <c r="A55" s="26" t="n">
        <v>29500</v>
      </c>
      <c r="C55" s="26" t="n">
        <v>80000</v>
      </c>
      <c r="D55" s="26" t="n">
        <v>34500</v>
      </c>
    </row>
    <row r="56">
      <c r="A56" s="26" t="n">
        <v>27000</v>
      </c>
      <c r="C56" s="26" t="n">
        <v>81000</v>
      </c>
      <c r="D56" s="26" t="n">
        <v>37000</v>
      </c>
    </row>
    <row r="57">
      <c r="A57" s="26" t="n">
        <v>26000</v>
      </c>
      <c r="C57" s="26" t="n">
        <v>83000</v>
      </c>
      <c r="D57" s="26" t="n">
        <v>35941</v>
      </c>
    </row>
    <row r="58">
      <c r="A58" s="26" t="n">
        <v>24916</v>
      </c>
      <c r="C58" s="26" t="n">
        <v>85000</v>
      </c>
    </row>
    <row r="59">
      <c r="C59" s="26" t="n">
        <v>88245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A84B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5" customHeight="1">
      <c r="A1" s="27" t="inlineStr">
        <is>
          <t>DETAILED STRATEGY ANALYSIS &amp; RECOMMENDATIONS</t>
        </is>
      </c>
    </row>
    <row r="3">
      <c r="A3" s="28" t="inlineStr">
        <is>
          <t>Strategy 1: Momentum Scalps</t>
        </is>
      </c>
      <c r="B3" s="29" t="n"/>
    </row>
    <row r="4">
      <c r="A4" s="30" t="inlineStr">
        <is>
          <t>Description</t>
        </is>
      </c>
      <c r="B4" s="31" t="inlineStr">
        <is>
          <t>Opening range breakout on ATM weekly options, 4-tranche capital management</t>
        </is>
      </c>
    </row>
    <row r="5">
      <c r="A5" s="30" t="inlineStr">
        <is>
          <t>Verdict</t>
        </is>
      </c>
      <c r="B5" s="32" t="inlineStr">
        <is>
          <t>AVOID</t>
        </is>
      </c>
    </row>
    <row r="6">
      <c r="A6" s="30" t="inlineStr">
        <is>
          <t>Analysis</t>
        </is>
      </c>
      <c r="B6" s="33" t="inlineStr">
        <is>
          <t>High frequency but poor R:R. Wins are too small vs losses. Theta eats profits.</t>
        </is>
      </c>
    </row>
    <row r="7">
      <c r="A7" s="30" t="inlineStr">
        <is>
          <t>Key Metrics</t>
        </is>
      </c>
      <c r="B7" s="31" t="inlineStr">
        <is>
          <t>PF: 0.91 | WR: 63% | R:R 1:0.53 | MaxDD: 68.0% | Best: ₹1,999 | Worst: ₹-4,973</t>
        </is>
      </c>
    </row>
    <row r="9">
      <c r="A9" s="28" t="inlineStr">
        <is>
          <t>Strategy 2: Straddle Surgeon</t>
        </is>
      </c>
      <c r="B9" s="29" t="n"/>
    </row>
    <row r="10">
      <c r="A10" s="30" t="inlineStr">
        <is>
          <t>Description</t>
        </is>
      </c>
      <c r="B10" s="31" t="inlineStr">
        <is>
          <t>Wed-Thu straddle with event-day volatility capture, leg management</t>
        </is>
      </c>
    </row>
    <row r="11">
      <c r="A11" s="30" t="inlineStr">
        <is>
          <t>Verdict</t>
        </is>
      </c>
      <c r="B11" s="34" t="inlineStr">
        <is>
          <t>MODERATE</t>
        </is>
      </c>
    </row>
    <row r="12">
      <c r="A12" s="30" t="inlineStr">
        <is>
          <t>Analysis</t>
        </is>
      </c>
      <c r="B12" s="33" t="inlineStr">
        <is>
          <t>Low frequency, decent R:R. Works best in volatile weeks. Safe but slow growth.</t>
        </is>
      </c>
    </row>
    <row r="13">
      <c r="A13" s="30" t="inlineStr">
        <is>
          <t>Key Metrics</t>
        </is>
      </c>
      <c r="B13" s="31" t="inlineStr">
        <is>
          <t>PF: 1.53 | WR: 46% | R:R 1:1.83 | MaxDD: 5.0% | Best: ₹1,751 | Worst: ₹-933</t>
        </is>
      </c>
    </row>
    <row r="15">
      <c r="A15" s="28" t="inlineStr">
        <is>
          <t>Strategy 3: Spread Ladder</t>
        </is>
      </c>
      <c r="B15" s="29" t="n"/>
    </row>
    <row r="16">
      <c r="A16" s="30" t="inlineStr">
        <is>
          <t>Description</t>
        </is>
      </c>
      <c r="B16" s="31" t="inlineStr">
        <is>
          <t>Iterative vertical spreads scaling into trend confirmation</t>
        </is>
      </c>
    </row>
    <row r="17">
      <c r="A17" s="30" t="inlineStr">
        <is>
          <t>Verdict</t>
        </is>
      </c>
      <c r="B17" s="35" t="inlineStr">
        <is>
          <t>TOP PICK</t>
        </is>
      </c>
    </row>
    <row r="18">
      <c r="A18" s="30" t="inlineStr">
        <is>
          <t>Analysis</t>
        </is>
      </c>
      <c r="B18" s="33" t="inlineStr">
        <is>
          <t>Best risk-adjusted returns. Even ~49% win rate is profitable due to 2.36:1 R:R. Low drawdown. Scales naturally.</t>
        </is>
      </c>
    </row>
    <row r="19">
      <c r="A19" s="30" t="inlineStr">
        <is>
          <t>Key Metrics</t>
        </is>
      </c>
      <c r="B19" s="31" t="inlineStr">
        <is>
          <t>PF: 2.28 | WR: 49% | R:R 1:2.36 | MaxDD: 5.3% | Best: ₹2,200 | Worst: ₹-1,575</t>
        </is>
      </c>
    </row>
    <row r="21">
      <c r="A21" s="28" t="inlineStr">
        <is>
          <t>Strategy 4: Gamma Scalp Lite</t>
        </is>
      </c>
      <c r="B21" s="29" t="n"/>
    </row>
    <row r="22">
      <c r="A22" s="30" t="inlineStr">
        <is>
          <t>Description</t>
        </is>
      </c>
      <c r="B22" s="31" t="inlineStr">
        <is>
          <t>OTM option buys at support/resistance for gamma expansion</t>
        </is>
      </c>
    </row>
    <row r="23">
      <c r="A23" s="30" t="inlineStr">
        <is>
          <t>Verdict</t>
        </is>
      </c>
      <c r="B23" s="34" t="inlineStr">
        <is>
          <t>NEEDS WORK</t>
        </is>
      </c>
    </row>
    <row r="24">
      <c r="A24" s="30" t="inlineStr">
        <is>
          <t>Analysis</t>
        </is>
      </c>
      <c r="B24" s="33" t="inlineStr">
        <is>
          <t>Good concept but low win rate. Support/resistance identification needs refinement. Could work with better entry filters.</t>
        </is>
      </c>
    </row>
    <row r="25">
      <c r="A25" s="30" t="inlineStr">
        <is>
          <t>Key Metrics</t>
        </is>
      </c>
      <c r="B25" s="31" t="inlineStr">
        <is>
          <t>PF: 0.94 | WR: 38% | R:R 1:1.52 | MaxDD: 30.9% | Best: ₹4,244 | Worst: ₹-2,988</t>
        </is>
      </c>
    </row>
    <row r="27">
      <c r="A27" s="28" t="inlineStr">
        <is>
          <t>Strategy 5: Expiry Theta Harvest</t>
        </is>
      </c>
      <c r="B27" s="29" t="n"/>
    </row>
    <row r="28">
      <c r="A28" s="30" t="inlineStr">
        <is>
          <t>Description</t>
        </is>
      </c>
      <c r="B28" s="31" t="inlineStr">
        <is>
          <t>Far OTM option selling on expiry day afternoon for theta decay</t>
        </is>
      </c>
    </row>
    <row r="29">
      <c r="A29" s="30" t="inlineStr">
        <is>
          <t>Verdict</t>
        </is>
      </c>
      <c r="B29" s="35" t="inlineStr">
        <is>
          <t>STRONG #2</t>
        </is>
      </c>
    </row>
    <row r="30">
      <c r="A30" s="30" t="inlineStr">
        <is>
          <t>Analysis</t>
        </is>
      </c>
      <c r="B30" s="33" t="inlineStr">
        <is>
          <t>Extremely high win rate, tiny drawdown. Small but consistent gains. One bad loss can wipe many wins — strict stops essential.</t>
        </is>
      </c>
    </row>
    <row r="31">
      <c r="A31" s="30" t="inlineStr">
        <is>
          <t>Key Metrics</t>
        </is>
      </c>
      <c r="B31" s="31" t="inlineStr">
        <is>
          <t>PF: 7.60 | WR: 96% | R:R 1:0.32 | MaxDD: 2.3% | Best: ₹568 | Worst: ₹-1,119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5" customHeight="1">
      <c r="A1" s="36" t="inlineStr">
        <is>
          <t>YOUR RECOMMENDED TRADING PLAYBOOK</t>
        </is>
      </c>
    </row>
    <row r="3" ht="50" customHeight="1">
      <c r="A3" s="37" t="inlineStr">
        <is>
          <t>PRIMARY: Spread Ladder (70% capital)</t>
        </is>
      </c>
      <c r="B3" s="38" t="inlineStr">
        <is>
          <t>Allocate ₹28,000. Use 3-day trend to pick direction. Start with 1 spread (₹3-5K risk), add 2nd only on confirmation. Target 100pt spread width. This gave 120% ROI with only 5.3% max drawdown.</t>
        </is>
      </c>
    </row>
    <row r="4" ht="50" customHeight="1">
      <c r="A4" s="37" t="inlineStr">
        <is>
          <t>SECONDARY: Theta Harvest (20% capital)</t>
        </is>
      </c>
      <c r="B4" s="38" t="inlineStr">
        <is>
          <t>Allocate ₹8,000 for margin. Every Thursday after 1:30PM, if market consolidating, sell far OTM (200+ pts). Collect ₹5-15 premium. Stop at 3x. 96% win rate but keep position sizing small.</t>
        </is>
      </c>
    </row>
    <row r="5" ht="50" customHeight="1">
      <c r="A5" s="37" t="inlineStr">
        <is>
          <t>SATELLITE: Straddle Surgeon (10% capital)</t>
        </is>
      </c>
      <c r="B5" s="38" t="inlineStr">
        <is>
          <t>Allocate ₹4,000. Only on high-volatility weeks (RBI, budget, earnings). Buy Wed straddle for Thu expiry. Cut losing leg fast at 100pt move. Skip during quiet weeks.</t>
        </is>
      </c>
    </row>
    <row r="6" ht="50" customHeight="1">
      <c r="A6" s="37" t="inlineStr">
        <is>
          <t>RISK MANAGEMENT</t>
        </is>
      </c>
      <c r="B6" s="38" t="inlineStr">
        <is>
          <t>Never risk more than 15% of capital on a single trade. Stop trading for the day after 2 consecutive losses. Review weekly — if drawdown &gt; 10%, reduce position size by half.</t>
        </is>
      </c>
    </row>
    <row r="7" ht="50" customHeight="1">
      <c r="A7" s="37" t="inlineStr">
        <is>
          <t>ITERATION PROTOCOL</t>
        </is>
      </c>
      <c r="B7" s="38" t="inlineStr">
        <is>
          <t>Week 1-2: Paper trade all 3 active strategies. Week 3-4: Go live with Spread Ladder only at 50% size. Month 2: Add Theta Harvest. Month 3: Full deployment with Straddle Surgeon.</t>
        </is>
      </c>
    </row>
    <row r="8" ht="50" customHeight="1">
      <c r="A8" s="37" t="inlineStr">
        <is>
          <t>AVOID</t>
        </is>
      </c>
      <c r="B8" s="38" t="inlineStr">
        <is>
          <t>Strategy 1 (Momentum Scalps): Negative expectancy. Strategy 4 (Gamma Scalp): Needs better entry filters before deploying.</t>
        </is>
      </c>
    </row>
    <row r="11">
      <c r="A11" s="39" t="inlineStr">
        <is>
          <t>⚠ DISCLAIMER: This is a simulated backtest using estimated options pricing. Real trading involves slippage, liquidity risk, and execution delays. Past performance does not guarantee future results. This is NOT financial advice.</t>
        </is>
      </c>
    </row>
  </sheetData>
  <mergeCells count="2"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2026-02-14T12:08:59Z</dcterms:created>
  <dcterms:modified xmlns:dcterms="http://purl.org/dc/terms/" xmlns:xsi="http://www.w3.org/2001/XMLSchema-instance" xsi:type="dcterms:W3CDTF">2026-02-14T12:08:59Z</dcterms:modified>
</cp:coreProperties>
</file>
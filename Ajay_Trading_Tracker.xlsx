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de Log" sheetId="2" state="visible" r:id="rId4"/>
    <sheet name="Daily P&amp;L" sheetId="3" state="visible" r:id="rId5"/>
    <sheet name="Symbol Performance" sheetId="4" state="visible" r:id="rId6"/>
    <sheet name="Trading Rules" sheetId="5" state="visible" r:id="rId7"/>
    <sheet name="Weekly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<sst xmlns="http://schemas.openxmlformats.org/spreadsheetml/2006/main" count="113" uniqueCount="90">
  <si>
    <t xml:space="preserve">AJAY'S TRADING DASHBOARD</t>
  </si>
  <si>
    <t xml:space="preserve">OVERALL PERFORMANCE</t>
  </si>
  <si>
    <t xml:space="preserve">Total Trades</t>
  </si>
  <si>
    <t xml:space="preserve">Win Rate</t>
  </si>
  <si>
    <t xml:space="preserve">Net P&amp;L</t>
  </si>
  <si>
    <t xml:space="preserve">Profit Factor</t>
  </si>
  <si>
    <t xml:space="preserve">Avg Win</t>
  </si>
  <si>
    <t xml:space="preserve">Avg Loss</t>
  </si>
  <si>
    <t xml:space="preserve">R:R Ratio</t>
  </si>
  <si>
    <t xml:space="preserve">Best Trade</t>
  </si>
  <si>
    <t xml:space="preserve">Worst Trade</t>
  </si>
  <si>
    <t xml:space="preserve">STRATEGY PERFORMANCE</t>
  </si>
  <si>
    <t xml:space="preserve">Strategy</t>
  </si>
  <si>
    <t xml:space="preserve">Trades</t>
  </si>
  <si>
    <t xml:space="preserve">SBI Specialist</t>
  </si>
  <si>
    <t xml:space="preserve">Index Swing</t>
  </si>
  <si>
    <t xml:space="preserve">Metal Scalp</t>
  </si>
  <si>
    <t xml:space="preserve">TRADE LOG - Enter each trade here</t>
  </si>
  <si>
    <t xml:space="preserve">Strategy: "SBI Specialist", "Index Swing", or "Metal Scalp" | Direction: "CALL" or "PUT"</t>
  </si>
  <si>
    <t xml:space="preserve">Date</t>
  </si>
  <si>
    <t xml:space="preserve">Symbol</t>
  </si>
  <si>
    <t xml:space="preserve">Direction</t>
  </si>
  <si>
    <t xml:space="preserve">Entry Price</t>
  </si>
  <si>
    <t xml:space="preserve">Exit Price</t>
  </si>
  <si>
    <t xml:space="preserve">Quantity</t>
  </si>
  <si>
    <t xml:space="preserve">Entry Time</t>
  </si>
  <si>
    <t xml:space="preserve">Exit Time</t>
  </si>
  <si>
    <t xml:space="preserve">Hold Time (h)</t>
  </si>
  <si>
    <t xml:space="preserve">Target %</t>
  </si>
  <si>
    <t xml:space="preserve">P&amp;L</t>
  </si>
  <si>
    <t xml:space="preserve">P&amp;L %</t>
  </si>
  <si>
    <t xml:space="preserve">Win/Loss</t>
  </si>
  <si>
    <t xml:space="preserve">Notes</t>
  </si>
  <si>
    <t xml:space="preserve">DAILY P&amp;L TRACKER</t>
  </si>
  <si>
    <t xml:space="preserve">Wins</t>
  </si>
  <si>
    <t xml:space="preserve">Losses</t>
  </si>
  <si>
    <t xml:space="preserve">SYMBOL-WISE PERFORMANCE</t>
  </si>
  <si>
    <t xml:space="preserve">Total P&amp;L</t>
  </si>
  <si>
    <t xml:space="preserve">Avg P&amp;L</t>
  </si>
  <si>
    <t xml:space="preserve">SBIN26FEB1160CE</t>
  </si>
  <si>
    <t xml:space="preserve">NIFTY26FEB25500CE</t>
  </si>
  <si>
    <t xml:space="preserve">VEDL26FEB685CE</t>
  </si>
  <si>
    <t xml:space="preserve">HINDALCO26FEB910PE</t>
  </si>
  <si>
    <t xml:space="preserve">JSWSTEEL26FEB1250CE</t>
  </si>
  <si>
    <t xml:space="preserve">AJAY'S TRADING PLAYBOOK</t>
  </si>
  <si>
    <t xml:space="preserve">STRATEGY 1: SBI SPECIALIST</t>
  </si>
  <si>
    <t xml:space="preserve">Position Size</t>
  </si>
  <si>
    <t xml:space="preserve">750 contracts</t>
  </si>
  <si>
    <t xml:space="preserve">Target</t>
  </si>
  <si>
    <t xml:space="preserve">5-12% profit</t>
  </si>
  <si>
    <t xml:space="preserve">Stop Loss</t>
  </si>
  <si>
    <t xml:space="preserve">-5 to -7%</t>
  </si>
  <si>
    <t xml:space="preserve">Max Hold</t>
  </si>
  <si>
    <t xml:space="preserve">Exit by 3:15 PM if intraday</t>
  </si>
  <si>
    <t xml:space="preserve">STRATEGY 2: INDEX SWING MASTER</t>
  </si>
  <si>
    <t xml:space="preserve">50-75 lots</t>
  </si>
  <si>
    <t xml:space="preserve">30-50% profit</t>
  </si>
  <si>
    <t xml:space="preserve">-15 to -20%</t>
  </si>
  <si>
    <t xml:space="preserve">Min Hold</t>
  </si>
  <si>
    <t xml:space="preserve">24 hours minimum</t>
  </si>
  <si>
    <t xml:space="preserve">STRATEGY 3: METAL SCALP</t>
  </si>
  <si>
    <t xml:space="preserve">700-1,150 lots</t>
  </si>
  <si>
    <t xml:space="preserve">5-10% quick profit</t>
  </si>
  <si>
    <t xml:space="preserve">-3 to -5%</t>
  </si>
  <si>
    <t xml:space="preserve">2 hours maximum</t>
  </si>
  <si>
    <t xml:space="preserve">TRADING RULES</t>
  </si>
  <si>
    <t xml:space="preserve">Max Trades/Day</t>
  </si>
  <si>
    <t xml:space="preserve">2-3 trades</t>
  </si>
  <si>
    <t xml:space="preserve">After 2 Losses</t>
  </si>
  <si>
    <t xml:space="preserve">STOP trading for the day</t>
  </si>
  <si>
    <t xml:space="preserve">Max Daily Risk</t>
  </si>
  <si>
    <t xml:space="preserve">₹3,000-4,000</t>
  </si>
  <si>
    <t xml:space="preserve">AVOID</t>
  </si>
  <si>
    <t xml:space="preserve">Auto Stocks</t>
  </si>
  <si>
    <t xml:space="preserve">M&amp;M, Maruti (proven losers)</t>
  </si>
  <si>
    <t xml:space="preserve">Unknown Setups</t>
  </si>
  <si>
    <t xml:space="preserve">Stick to your 3 strategies</t>
  </si>
  <si>
    <t xml:space="preserve">Revenge Trading</t>
  </si>
  <si>
    <t xml:space="preserve">Never chase losses</t>
  </si>
  <si>
    <t xml:space="preserve">Overtrading</t>
  </si>
  <si>
    <t xml:space="preserve">Max 3 trades/day</t>
  </si>
  <si>
    <t xml:space="preserve">WEEKLY TARGET</t>
  </si>
  <si>
    <t xml:space="preserve">Profit Goal</t>
  </si>
  <si>
    <t xml:space="preserve">₹20,000-25,000</t>
  </si>
  <si>
    <t xml:space="preserve">Win Rate Goal</t>
  </si>
  <si>
    <t xml:space="preserve">60%+</t>
  </si>
  <si>
    <t xml:space="preserve">10-12 trades</t>
  </si>
  <si>
    <t xml:space="preserve">WEEKLY PERFORMANCE SUMMARY</t>
  </si>
  <si>
    <t xml:space="preserve">Week Starting</t>
  </si>
  <si>
    <t xml:space="preserve">Feb 6, 2026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</si>
</sst>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%"/>
    <numFmt numFmtId="167" formatCode="\₹#,##0.00"/>
    <numFmt numFmtId="168" formatCode="0.00"/>
    <numFmt numFmtId="169" formatCode="0.0"/>
    <numFmt numFmtId="170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4472C4"/>
      <name val="Cambria"/>
      <family val="0"/>
      <charset val="1"/>
    </font>
    <font>
      <i val="true"/>
      <sz val="9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6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5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7.35" hidden="false" customHeight="false" outlineLevel="0" collapsed="false">
      <c r="A3" s="2" t="s">
        <v>1</v>
      </c>
      <c r="B3" s="2"/>
      <c r="C3" s="2"/>
    </row>
    <row r="5" customFormat="false" ht="15" hidden="false" customHeight="false" outlineLevel="0" collapsed="false">
      <c r="A5" s="3" t="s">
        <v>2</v>
      </c>
      <c r="B5" s="4" t="n">
        <f aca="false">COUNTA('Trade Log'!B4:B1000)</f>
        <v>0</v>
      </c>
    </row>
    <row r="6" customFormat="false" ht="15" hidden="false" customHeight="false" outlineLevel="0" collapsed="false">
      <c r="A6" s="3" t="s">
        <v>3</v>
      </c>
      <c r="B6" s="5" t="n">
        <f aca="false">COUNTIF('Trade Log'!L4:L1000,"&gt;0")/COUNTA('Trade Log'!L4:L1000)</f>
        <v>0</v>
      </c>
    </row>
    <row r="7" customFormat="false" ht="15" hidden="false" customHeight="false" outlineLevel="0" collapsed="false">
      <c r="A7" s="3" t="s">
        <v>4</v>
      </c>
      <c r="B7" s="6" t="n">
        <f aca="false">SUM('Trade Log'!L4:L1000)</f>
        <v>0</v>
      </c>
    </row>
    <row r="8" customFormat="false" ht="15" hidden="false" customHeight="false" outlineLevel="0" collapsed="false">
      <c r="A8" s="3" t="s">
        <v>5</v>
      </c>
      <c r="B8" s="6" t="e">
        <f aca="false">SUMIF('Trade Log'!L4:L1000,"&gt;0",'Trade Log'!L4:L1000)/ABS(SUMIF('Trade Log'!L4:L1000,"&lt;0",'Trade Log'!L4:L1000))</f>
        <v>#DIV/0!</v>
      </c>
    </row>
    <row r="9" customFormat="false" ht="15" hidden="false" customHeight="false" outlineLevel="0" collapsed="false">
      <c r="A9" s="3" t="s">
        <v>6</v>
      </c>
      <c r="B9" s="6" t="e">
        <f aca="false">AVERAGEIF('Trade Log'!L4:L1000,"&gt;0",'Trade Log'!L4:L1000)</f>
        <v>#DIV/0!</v>
      </c>
    </row>
    <row r="10" customFormat="false" ht="15" hidden="false" customHeight="false" outlineLevel="0" collapsed="false">
      <c r="A10" s="3" t="s">
        <v>7</v>
      </c>
      <c r="B10" s="6" t="e">
        <f aca="false">AVERAGEIF('Trade Log'!L4:L1000,"&lt;0",'Trade Log'!L4:L1000)</f>
        <v>#DIV/0!</v>
      </c>
    </row>
    <row r="11" customFormat="false" ht="15" hidden="false" customHeight="false" outlineLevel="0" collapsed="false">
      <c r="A11" s="3" t="s">
        <v>8</v>
      </c>
      <c r="B11" s="7" t="e">
        <f aca="false">ABS(E8/E9)</f>
        <v>#DIV/0!</v>
      </c>
    </row>
    <row r="12" customFormat="false" ht="15" hidden="false" customHeight="false" outlineLevel="0" collapsed="false">
      <c r="A12" s="3" t="s">
        <v>9</v>
      </c>
      <c r="B12" s="6" t="n">
        <f aca="false">MAX('Trade Log'!L4:L1000)</f>
        <v>0</v>
      </c>
    </row>
    <row r="13" customFormat="false" ht="15" hidden="false" customHeight="false" outlineLevel="0" collapsed="false">
      <c r="A13" s="3" t="s">
        <v>10</v>
      </c>
      <c r="B13" s="6" t="n">
        <f aca="false">MIN('Trade Log'!L4:L1000)</f>
        <v>0</v>
      </c>
    </row>
    <row r="16" customFormat="false" ht="17.35" hidden="false" customHeight="false" outlineLevel="0" collapsed="false">
      <c r="A16" s="2" t="s">
        <v>11</v>
      </c>
      <c r="B16" s="2"/>
      <c r="C16" s="2"/>
      <c r="D16" s="2"/>
    </row>
    <row r="18" customFormat="false" ht="15" hidden="false" customHeight="false" outlineLevel="0" collapsed="false">
      <c r="A18" s="8" t="s">
        <v>12</v>
      </c>
      <c r="B18" s="8" t="s">
        <v>13</v>
      </c>
      <c r="C18" s="8" t="s">
        <v>3</v>
      </c>
      <c r="D18" s="8" t="s">
        <v>4</v>
      </c>
    </row>
    <row r="19" customFormat="false" ht="15" hidden="false" customHeight="false" outlineLevel="0" collapsed="false">
      <c r="A19" s="0" t="s">
        <v>14</v>
      </c>
      <c r="B19" s="9" t="n">
        <f aca="false">COUNTIF('Trade Log'!C4:C1000,"SBI Specialist")</f>
        <v>0</v>
      </c>
      <c r="C19" s="10" t="e">
        <f aca="false">COUNTIFS('Trade Log'!C4:C1000,"SBI Specialist",'Trade Log'!L4:L1000,"&gt;0")/COUNTIF('Trade Log'!C4:C1000,"SBI Specialist")</f>
        <v>#DIV/0!</v>
      </c>
      <c r="D19" s="11" t="n">
        <f aca="false">SUMIF('Trade Log'!C4:C1000,"SBI Specialist",'Trade Log'!L4:L1000)</f>
        <v>0</v>
      </c>
    </row>
    <row r="20" customFormat="false" ht="15" hidden="false" customHeight="false" outlineLevel="0" collapsed="false">
      <c r="A20" s="0" t="s">
        <v>15</v>
      </c>
      <c r="B20" s="9" t="n">
        <f aca="false">COUNTIF('Trade Log'!C4:C1000,"Index Swing")</f>
        <v>0</v>
      </c>
      <c r="C20" s="10" t="e">
        <f aca="false">COUNTIFS('Trade Log'!C4:C1000,"Index Swing",'Trade Log'!L4:L1000,"&gt;0")/COUNTIF('Trade Log'!C4:C1000,"Index Swing")</f>
        <v>#DIV/0!</v>
      </c>
      <c r="D20" s="11" t="n">
        <f aca="false">SUMIF('Trade Log'!C4:C1000,"Index Swing",'Trade Log'!L4:L1000)</f>
        <v>0</v>
      </c>
    </row>
    <row r="21" customFormat="false" ht="15" hidden="false" customHeight="false" outlineLevel="0" collapsed="false">
      <c r="A21" s="0" t="s">
        <v>16</v>
      </c>
      <c r="B21" s="9" t="n">
        <f aca="false">COUNTIF('Trade Log'!C4:C1000,"Metal Scalp")</f>
        <v>0</v>
      </c>
      <c r="C21" s="10" t="e">
        <f aca="false">COUNTIFS('Trade Log'!C4:C1000,"Metal Scalp",'Trade Log'!L4:L1000,"&gt;0")/COUNTIF('Trade Log'!C4:C1000,"Metal Scalp")</f>
        <v>#DIV/0!</v>
      </c>
      <c r="D21" s="11" t="n">
        <f aca="false">SUMIF('Trade Log'!C4:C1000,"Metal Scalp",'Trade Log'!L4:L1000)</f>
        <v>0</v>
      </c>
    </row>
  </sheetData>
  <mergeCells count="3">
    <mergeCell ref="A1:F1"/>
    <mergeCell ref="A3:C3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9" min="8" style="0" width="18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5"/>
    <col collapsed="false" customWidth="true" hidden="false" outlineLevel="0" max="14" min="13" style="0" width="10"/>
    <col collapsed="false" customWidth="true" hidden="false" outlineLevel="0" max="15" min="15" style="0" width="30"/>
  </cols>
  <sheetData>
    <row r="1" customFormat="false" ht="15" hidden="false" customHeight="false" outlineLevel="0" collapsed="false">
      <c r="A1" s="12" t="s">
        <v>17</v>
      </c>
    </row>
    <row r="2" customFormat="false" ht="15" hidden="false" customHeight="false" outlineLevel="0" collapsed="false">
      <c r="A2" s="13" t="s">
        <v>18</v>
      </c>
    </row>
    <row r="3" customFormat="false" ht="15" hidden="false" customHeight="false" outlineLevel="0" collapsed="false">
      <c r="A3" s="14" t="s">
        <v>19</v>
      </c>
      <c r="B3" s="14" t="s">
        <v>20</v>
      </c>
      <c r="C3" s="14" t="s">
        <v>12</v>
      </c>
      <c r="D3" s="14" t="s">
        <v>21</v>
      </c>
      <c r="E3" s="14" t="s">
        <v>22</v>
      </c>
      <c r="F3" s="14" t="s">
        <v>23</v>
      </c>
      <c r="G3" s="14" t="s">
        <v>24</v>
      </c>
      <c r="H3" s="14" t="s">
        <v>25</v>
      </c>
      <c r="I3" s="14" t="s">
        <v>26</v>
      </c>
      <c r="J3" s="14" t="s">
        <v>27</v>
      </c>
      <c r="K3" s="14" t="s">
        <v>28</v>
      </c>
      <c r="L3" s="14" t="s">
        <v>29</v>
      </c>
      <c r="M3" s="14" t="s">
        <v>30</v>
      </c>
      <c r="N3" s="14" t="s">
        <v>31</v>
      </c>
      <c r="O3" s="14" t="s">
        <v>32</v>
      </c>
    </row>
    <row r="4" customFormat="false" ht="15" hidden="false" customHeight="false" outlineLevel="0" collapsed="false">
      <c r="J4" s="15" t="n">
        <f aca="false">(I4-H4)*24</f>
        <v>0</v>
      </c>
      <c r="K4" s="16"/>
      <c r="L4" s="11" t="n">
        <f aca="false">(F4-E4)*G4</f>
        <v>0</v>
      </c>
      <c r="M4" s="17" t="e">
        <f aca="false">(F4-E4)/E4</f>
        <v>#DIV/0!</v>
      </c>
      <c r="N4" s="0" t="str">
        <f aca="false">IF(L4&gt;0,"WIN","LOSS")</f>
        <v>LOSS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1" style="0" width="15"/>
  </cols>
  <sheetData>
    <row r="1" customFormat="false" ht="17.35" hidden="false" customHeight="false" outlineLevel="0" collapsed="false">
      <c r="A1" s="18" t="s">
        <v>33</v>
      </c>
      <c r="B1" s="18"/>
      <c r="C1" s="18"/>
      <c r="D1" s="18"/>
      <c r="E1" s="18"/>
    </row>
    <row r="3" customFormat="false" ht="15" hidden="false" customHeight="false" outlineLevel="0" collapsed="false">
      <c r="A3" s="8" t="s">
        <v>19</v>
      </c>
      <c r="B3" s="8" t="s">
        <v>13</v>
      </c>
      <c r="C3" s="8" t="s">
        <v>34</v>
      </c>
      <c r="D3" s="8" t="s">
        <v>35</v>
      </c>
      <c r="E3" s="8" t="s">
        <v>4</v>
      </c>
    </row>
    <row r="4" customFormat="false" ht="15" hidden="false" customHeight="false" outlineLevel="0" collapsed="false">
      <c r="B4" s="0" t="n">
        <f aca="false">COUNTIF('Trade Log'!$A$4:$A$1000,A4)</f>
        <v>0</v>
      </c>
      <c r="C4" s="0" t="n">
        <f aca="false">COUNTIFS('Trade Log'!$A$4:$A$1000,A4,'Trade Log'!$L$4:$L$1000,"&gt;0")</f>
        <v>0</v>
      </c>
      <c r="D4" s="0" t="n">
        <f aca="false">COUNTIFS('Trade Log'!$A$4:$A$1000,A4,'Trade Log'!$L$4:$L$1000,"&lt;0")</f>
        <v>0</v>
      </c>
      <c r="E4" s="11" t="n">
        <f aca="false">SUMIF('Trade Log'!$A$4:$A$1000,A4,'Trade Log'!$L$4:$L$1000)</f>
        <v>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0" width="18"/>
  </cols>
  <sheetData>
    <row r="1" customFormat="false" ht="17.35" hidden="false" customHeight="false" outlineLevel="0" collapsed="false">
      <c r="A1" s="18" t="s">
        <v>36</v>
      </c>
      <c r="B1" s="18"/>
      <c r="C1" s="18"/>
      <c r="D1" s="18"/>
      <c r="E1" s="18"/>
      <c r="F1" s="18"/>
    </row>
    <row r="3" customFormat="false" ht="15" hidden="false" customHeight="false" outlineLevel="0" collapsed="false">
      <c r="A3" s="8" t="s">
        <v>20</v>
      </c>
      <c r="B3" s="8" t="s">
        <v>2</v>
      </c>
      <c r="C3" s="8" t="s">
        <v>34</v>
      </c>
      <c r="D3" s="8" t="s">
        <v>3</v>
      </c>
      <c r="E3" s="8" t="s">
        <v>37</v>
      </c>
      <c r="F3" s="8" t="s">
        <v>38</v>
      </c>
    </row>
    <row r="4" customFormat="false" ht="15" hidden="false" customHeight="false" outlineLevel="0" collapsed="false">
      <c r="A4" s="0" t="s">
        <v>39</v>
      </c>
      <c r="B4" s="0" t="n">
        <f aca="false">COUNTIF('Trade Log'!$B$4:$B$1000,A4)</f>
        <v>0</v>
      </c>
      <c r="C4" s="0" t="n">
        <f aca="false">COUNTIFS('Trade Log'!$B$4:$B$1000,A4,'Trade Log'!$L$4:$L$1000,"&gt;0")</f>
        <v>0</v>
      </c>
      <c r="D4" s="10" t="n">
        <f aca="false">IF(B4&gt;0,C4/B4,0)</f>
        <v>0</v>
      </c>
      <c r="E4" s="11" t="n">
        <f aca="false">SUMIF('Trade Log'!$B$4:$B$1000,A4,'Trade Log'!$L$4:$L$1000)</f>
        <v>0</v>
      </c>
      <c r="F4" s="11" t="n">
        <f aca="false">IF(B4&gt;0,E4/B4,0)</f>
        <v>0</v>
      </c>
    </row>
    <row r="5" customFormat="false" ht="15" hidden="false" customHeight="false" outlineLevel="0" collapsed="false">
      <c r="A5" s="0" t="s">
        <v>40</v>
      </c>
      <c r="B5" s="0" t="n">
        <f aca="false">COUNTIF('Trade Log'!$B$4:$B$1000,A5)</f>
        <v>0</v>
      </c>
      <c r="C5" s="0" t="n">
        <f aca="false">COUNTIFS('Trade Log'!$B$4:$B$1000,A5,'Trade Log'!$L$4:$L$1000,"&gt;0")</f>
        <v>0</v>
      </c>
      <c r="D5" s="10" t="n">
        <f aca="false">IF(B5&gt;0,C5/B5,0)</f>
        <v>0</v>
      </c>
      <c r="E5" s="11" t="n">
        <f aca="false">SUMIF('Trade Log'!$B$4:$B$1000,A5,'Trade Log'!$L$4:$L$1000)</f>
        <v>0</v>
      </c>
      <c r="F5" s="11" t="n">
        <f aca="false">IF(B5&gt;0,E5/B5,0)</f>
        <v>0</v>
      </c>
    </row>
    <row r="6" customFormat="false" ht="15" hidden="false" customHeight="false" outlineLevel="0" collapsed="false">
      <c r="A6" s="0" t="s">
        <v>41</v>
      </c>
      <c r="B6" s="0" t="n">
        <f aca="false">COUNTIF('Trade Log'!$B$4:$B$1000,A6)</f>
        <v>0</v>
      </c>
      <c r="C6" s="0" t="n">
        <f aca="false">COUNTIFS('Trade Log'!$B$4:$B$1000,A6,'Trade Log'!$L$4:$L$1000,"&gt;0")</f>
        <v>0</v>
      </c>
      <c r="D6" s="10" t="n">
        <f aca="false">IF(B6&gt;0,C6/B6,0)</f>
        <v>0</v>
      </c>
      <c r="E6" s="11" t="n">
        <f aca="false">SUMIF('Trade Log'!$B$4:$B$1000,A6,'Trade Log'!$L$4:$L$1000)</f>
        <v>0</v>
      </c>
      <c r="F6" s="11" t="n">
        <f aca="false">IF(B6&gt;0,E6/B6,0)</f>
        <v>0</v>
      </c>
    </row>
    <row r="7" customFormat="false" ht="15" hidden="false" customHeight="false" outlineLevel="0" collapsed="false">
      <c r="A7" s="0" t="s">
        <v>42</v>
      </c>
      <c r="B7" s="0" t="n">
        <f aca="false">COUNTIF('Trade Log'!$B$4:$B$1000,A7)</f>
        <v>0</v>
      </c>
      <c r="C7" s="0" t="n">
        <f aca="false">COUNTIFS('Trade Log'!$B$4:$B$1000,A7,'Trade Log'!$L$4:$L$1000,"&gt;0")</f>
        <v>0</v>
      </c>
      <c r="D7" s="10" t="n">
        <f aca="false">IF(B7&gt;0,C7/B7,0)</f>
        <v>0</v>
      </c>
      <c r="E7" s="11" t="n">
        <f aca="false">SUMIF('Trade Log'!$B$4:$B$1000,A7,'Trade Log'!$L$4:$L$1000)</f>
        <v>0</v>
      </c>
      <c r="F7" s="11" t="n">
        <f aca="false">IF(B7&gt;0,E7/B7,0)</f>
        <v>0</v>
      </c>
    </row>
    <row r="8" customFormat="false" ht="15" hidden="false" customHeight="false" outlineLevel="0" collapsed="false">
      <c r="A8" s="0" t="s">
        <v>43</v>
      </c>
      <c r="B8" s="0" t="n">
        <f aca="false">COUNTIF('Trade Log'!$B$4:$B$1000,A8)</f>
        <v>0</v>
      </c>
      <c r="C8" s="0" t="n">
        <f aca="false">COUNTIFS('Trade Log'!$B$4:$B$1000,A8,'Trade Log'!$L$4:$L$1000,"&gt;0")</f>
        <v>0</v>
      </c>
      <c r="D8" s="10" t="n">
        <f aca="false">IF(B8&gt;0,C8/B8,0)</f>
        <v>0</v>
      </c>
      <c r="E8" s="11" t="n">
        <f aca="false">SUMIF('Trade Log'!$B$4:$B$1000,A8,'Trade Log'!$L$4:$L$1000)</f>
        <v>0</v>
      </c>
      <c r="F8" s="11" t="n">
        <f aca="false">IF(B8&gt;0,E8/B8,0)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0"/>
  </cols>
  <sheetData>
    <row r="1" customFormat="false" ht="19.7" hidden="false" customHeight="false" outlineLevel="0" collapsed="false">
      <c r="A1" s="19" t="s">
        <v>44</v>
      </c>
      <c r="B1" s="19"/>
      <c r="C1" s="19"/>
    </row>
    <row r="4" customFormat="false" ht="15" hidden="false" customHeight="false" outlineLevel="0" collapsed="false">
      <c r="A4" s="20" t="s">
        <v>45</v>
      </c>
      <c r="B4" s="20"/>
      <c r="C4" s="20"/>
    </row>
    <row r="5" customFormat="false" ht="15" hidden="false" customHeight="false" outlineLevel="0" collapsed="false">
      <c r="A5" s="3" t="s">
        <v>46</v>
      </c>
      <c r="B5" s="16" t="s">
        <v>47</v>
      </c>
    </row>
    <row r="6" customFormat="false" ht="15" hidden="false" customHeight="false" outlineLevel="0" collapsed="false">
      <c r="A6" s="3" t="s">
        <v>48</v>
      </c>
      <c r="B6" s="16" t="s">
        <v>49</v>
      </c>
    </row>
    <row r="7" customFormat="false" ht="15" hidden="false" customHeight="false" outlineLevel="0" collapsed="false">
      <c r="A7" s="3" t="s">
        <v>50</v>
      </c>
      <c r="B7" s="16" t="s">
        <v>51</v>
      </c>
    </row>
    <row r="8" customFormat="false" ht="15" hidden="false" customHeight="false" outlineLevel="0" collapsed="false">
      <c r="A8" s="3" t="s">
        <v>52</v>
      </c>
      <c r="B8" s="16" t="s">
        <v>53</v>
      </c>
    </row>
    <row r="10" customFormat="false" ht="15" hidden="false" customHeight="false" outlineLevel="0" collapsed="false">
      <c r="A10" s="20" t="s">
        <v>54</v>
      </c>
      <c r="B10" s="20"/>
      <c r="C10" s="20"/>
    </row>
    <row r="11" customFormat="false" ht="15" hidden="false" customHeight="false" outlineLevel="0" collapsed="false">
      <c r="A11" s="3" t="s">
        <v>46</v>
      </c>
      <c r="B11" s="16" t="s">
        <v>55</v>
      </c>
    </row>
    <row r="12" customFormat="false" ht="15" hidden="false" customHeight="false" outlineLevel="0" collapsed="false">
      <c r="A12" s="3" t="s">
        <v>48</v>
      </c>
      <c r="B12" s="16" t="s">
        <v>56</v>
      </c>
    </row>
    <row r="13" customFormat="false" ht="15" hidden="false" customHeight="false" outlineLevel="0" collapsed="false">
      <c r="A13" s="3" t="s">
        <v>50</v>
      </c>
      <c r="B13" s="16" t="s">
        <v>57</v>
      </c>
    </row>
    <row r="14" customFormat="false" ht="15" hidden="false" customHeight="false" outlineLevel="0" collapsed="false">
      <c r="A14" s="3" t="s">
        <v>58</v>
      </c>
      <c r="B14" s="16" t="s">
        <v>59</v>
      </c>
    </row>
    <row r="16" customFormat="false" ht="15" hidden="false" customHeight="false" outlineLevel="0" collapsed="false">
      <c r="A16" s="20" t="s">
        <v>60</v>
      </c>
      <c r="B16" s="20"/>
      <c r="C16" s="20"/>
    </row>
    <row r="17" customFormat="false" ht="15" hidden="false" customHeight="false" outlineLevel="0" collapsed="false">
      <c r="A17" s="3" t="s">
        <v>46</v>
      </c>
      <c r="B17" s="16" t="s">
        <v>61</v>
      </c>
    </row>
    <row r="18" customFormat="false" ht="15" hidden="false" customHeight="false" outlineLevel="0" collapsed="false">
      <c r="A18" s="3" t="s">
        <v>48</v>
      </c>
      <c r="B18" s="16" t="s">
        <v>62</v>
      </c>
    </row>
    <row r="19" customFormat="false" ht="15" hidden="false" customHeight="false" outlineLevel="0" collapsed="false">
      <c r="A19" s="3" t="s">
        <v>50</v>
      </c>
      <c r="B19" s="16" t="s">
        <v>63</v>
      </c>
    </row>
    <row r="20" customFormat="false" ht="15" hidden="false" customHeight="false" outlineLevel="0" collapsed="false">
      <c r="A20" s="3" t="s">
        <v>52</v>
      </c>
      <c r="B20" s="16" t="s">
        <v>64</v>
      </c>
    </row>
    <row r="22" customFormat="false" ht="15" hidden="false" customHeight="false" outlineLevel="0" collapsed="false">
      <c r="A22" s="20" t="s">
        <v>65</v>
      </c>
      <c r="B22" s="20"/>
      <c r="C22" s="20"/>
    </row>
    <row r="23" customFormat="false" ht="15" hidden="false" customHeight="false" outlineLevel="0" collapsed="false">
      <c r="A23" s="3" t="s">
        <v>66</v>
      </c>
      <c r="B23" s="16" t="s">
        <v>67</v>
      </c>
    </row>
    <row r="24" customFormat="false" ht="15" hidden="false" customHeight="false" outlineLevel="0" collapsed="false">
      <c r="A24" s="3" t="s">
        <v>68</v>
      </c>
      <c r="B24" s="16" t="s">
        <v>69</v>
      </c>
    </row>
    <row r="25" customFormat="false" ht="15" hidden="false" customHeight="false" outlineLevel="0" collapsed="false">
      <c r="A25" s="3" t="s">
        <v>70</v>
      </c>
      <c r="B25" s="16" t="s">
        <v>71</v>
      </c>
    </row>
    <row r="27" customFormat="false" ht="15" hidden="false" customHeight="false" outlineLevel="0" collapsed="false">
      <c r="A27" s="20" t="s">
        <v>72</v>
      </c>
      <c r="B27" s="20"/>
      <c r="C27" s="20"/>
    </row>
    <row r="28" customFormat="false" ht="15" hidden="false" customHeight="false" outlineLevel="0" collapsed="false">
      <c r="A28" s="3" t="s">
        <v>73</v>
      </c>
      <c r="B28" s="16" t="s">
        <v>74</v>
      </c>
    </row>
    <row r="29" customFormat="false" ht="15" hidden="false" customHeight="false" outlineLevel="0" collapsed="false">
      <c r="A29" s="3" t="s">
        <v>75</v>
      </c>
      <c r="B29" s="16" t="s">
        <v>76</v>
      </c>
    </row>
    <row r="30" customFormat="false" ht="15" hidden="false" customHeight="false" outlineLevel="0" collapsed="false">
      <c r="A30" s="3" t="s">
        <v>77</v>
      </c>
      <c r="B30" s="16" t="s">
        <v>78</v>
      </c>
    </row>
    <row r="31" customFormat="false" ht="15" hidden="false" customHeight="false" outlineLevel="0" collapsed="false">
      <c r="A31" s="3" t="s">
        <v>79</v>
      </c>
      <c r="B31" s="16" t="s">
        <v>80</v>
      </c>
    </row>
    <row r="33" customFormat="false" ht="15" hidden="false" customHeight="false" outlineLevel="0" collapsed="false">
      <c r="A33" s="20" t="s">
        <v>81</v>
      </c>
      <c r="B33" s="20"/>
      <c r="C33" s="20"/>
    </row>
    <row r="34" customFormat="false" ht="15" hidden="false" customHeight="false" outlineLevel="0" collapsed="false">
      <c r="A34" s="3" t="s">
        <v>82</v>
      </c>
      <c r="B34" s="16" t="s">
        <v>83</v>
      </c>
    </row>
    <row r="35" customFormat="false" ht="15" hidden="false" customHeight="false" outlineLevel="0" collapsed="false">
      <c r="A35" s="3" t="s">
        <v>84</v>
      </c>
      <c r="B35" s="16" t="s">
        <v>85</v>
      </c>
    </row>
    <row r="36" customFormat="false" ht="15" hidden="false" customHeight="false" outlineLevel="0" collapsed="false">
      <c r="A36" s="3" t="s">
        <v>2</v>
      </c>
      <c r="B36" s="16" t="s">
        <v>86</v>
      </c>
    </row>
  </sheetData>
  <mergeCells count="7">
    <mergeCell ref="A1:C1"/>
    <mergeCell ref="A4:C4"/>
    <mergeCell ref="A10:C10"/>
    <mergeCell ref="A16:C16"/>
    <mergeCell ref="A22:C22"/>
    <mergeCell ref="A27:C27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0" width="18"/>
  </cols>
  <sheetData>
    <row r="1" customFormat="false" ht="17.35" hidden="false" customHeight="false" outlineLevel="0" collapsed="false">
      <c r="A1" s="18" t="s">
        <v>87</v>
      </c>
      <c r="B1" s="18"/>
      <c r="C1" s="18"/>
      <c r="D1" s="18"/>
      <c r="E1" s="18"/>
      <c r="F1" s="18"/>
    </row>
    <row r="3" customFormat="false" ht="15" hidden="false" customHeight="false" outlineLevel="0" collapsed="false">
      <c r="A3" s="8" t="s">
        <v>88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9</v>
      </c>
    </row>
    <row r="4" customFormat="false" ht="15" hidden="false" customHeight="false" outlineLevel="0" collapsed="false">
      <c r="A4" s="0" t="s">
        <v>89</v>
      </c>
      <c r="B4" s="0" t="n">
        <v>13</v>
      </c>
      <c r="C4" s="10" t="n">
        <v>0.615</v>
      </c>
      <c r="D4" s="11" t="n">
        <v>20703</v>
      </c>
      <c r="E4" s="21" t="n">
        <v>3.43</v>
      </c>
      <c r="F4" s="11" t="n">
        <v>10253.75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2026-02-14T09:34:07Z</dcterms:created>
  <dc:creator>openpyxl</dc:creator>
  <dc:description/>
  <dc:language>en-US</dc:language>
  <cp:lastModifiedBy/>
  <dcterms:modified xsi:type="dcterms:W3CDTF">2026-02-14T09:34:07Z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